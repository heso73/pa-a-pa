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Factures" sheetId="2" state="visible" r:id="rId4"/>
    <sheet name="Synthèse" sheetId="3" state="visible" r:id="rId5"/>
  </sheets>
  <definedNames>
    <definedName function="false" hidden="true" localSheetId="1" name="_xlnm._FilterDatabase" vbProcedure="false">Factures!$A$4:$J$204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<sst xmlns="http://schemas.openxmlformats.org/spreadsheetml/2006/main" count="40" uniqueCount="40">
  <si>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Suivi des factures et des paiements</t>
  </si>
  <si>
    <t xml:space="preserve">À quoi ça sert</t>
  </si>
  <si>
    <t xml:space="preserve">Savoir à tout moment ce que vous avez facturé, ce qui est payé, ce qui est en retard, et mettre de côté de quoi payer vos cotisations.</t>
  </si>
  <si>
    <t xml:space="preserve">Comment l'utiliser</t>
  </si>
  <si>
    <t xml:space="preserve">1. Onglet « Factures » : une ligne par facture. La première ligne est un exemple, remplacez-la.</t>
  </si>
  <si>
    <t xml:space="preserve">2. Numérotez vos factures dans l'ordre, sans trou (obligation légale de numérotation chronologique continue).</t>
  </si>
  <si>
    <t xml:space="preserve">3. Mettez le statut à jour : Brouillon, Envoyée, Payée. Renseignez la date de paiement quand vous êtes payé.</t>
  </si>
  <si>
    <t xml:space="preserve">4. La colonne « Jours de retard » se calcule toute seule pour les factures non payées dont l'échéance est dépassée.</t>
  </si>
  <si>
    <t xml:space="preserve">5. Onglet « Synthèse » : total facturé, total encaissé, reste à encaisser et cotisations à prévoir.</t>
  </si>
  <si>
    <t xml:space="preserve">Cotisations</t>
  </si>
  <si>
    <t xml:space="preserve">Saisissez dans l'onglet « Synthèse » (cellule jaune) le taux de cotisations qui s'applique à votre activité. Il est publié sur urssaf.fr et change : ce modèle n'en contient volontairement aucun.</t>
  </si>
  <si>
    <t xml:space="preserve">Le montant calculé est une estimation pour vous aider à mettre de l'argent de côté, pas une déclaration.</t>
  </si>
  <si>
    <t xml:space="preserve">Important</t>
  </si>
  <si>
    <t xml:space="preserve">Ce modèle sert au suivi. Il ne remplace pas une facture : celle-ci doit comporter les mentions légales obligatoires (voir entreprendre.service-public.fr). Un expert-comptable ou la CCI peuvent vous accompagner.</t>
  </si>
  <si>
    <t xml:space="preserve">Modèle gratuit offert par Pa a Pa – heso73.github.io/pa-a-pa</t>
  </si>
  <si>
    <t xml:space="preserve">Suivi des factures</t>
  </si>
  <si>
    <t xml:space="preserve">Une ligne par facture. Colonne grise : calcul automatique.</t>
  </si>
  <si>
    <t xml:space="preserve">N° de facture</t>
  </si>
  <si>
    <t xml:space="preserve">Date d'émission</t>
  </si>
  <si>
    <t xml:space="preserve">Client</t>
  </si>
  <si>
    <t xml:space="preserve">Prestation</t>
  </si>
  <si>
    <t xml:space="preserve">Montant (€)</t>
  </si>
  <si>
    <t xml:space="preserve">Statut</t>
  </si>
  <si>
    <t xml:space="preserve">Échéance</t>
  </si>
  <si>
    <t xml:space="preserve">Date de paiement</t>
  </si>
  <si>
    <t xml:space="preserve">Jours de retard</t>
  </si>
  <si>
    <t xml:space="preserve">Notes</t>
  </si>
  <si>
    <t xml:space="preserve">2026-001</t>
  </si>
  <si>
    <t xml:space="preserve">Client Exemple</t>
  </si>
  <si>
    <t xml:space="preserve">Commission / prestation (EXEMPLE)</t>
  </si>
  <si>
    <t xml:space="preserve">Envoyée</t>
  </si>
  <si>
    <t xml:space="preserve">Ligne d'exemple : à remplacer</t>
  </si>
  <si>
    <t xml:space="preserve">Synthèse</t>
  </si>
  <si>
    <t xml:space="preserve">Total facturé (envoyé + payé)</t>
  </si>
  <si>
    <t xml:space="preserve">Total encaissé</t>
  </si>
  <si>
    <t xml:space="preserve">Reste à encaisser</t>
  </si>
  <si>
    <t xml:space="preserve">Factures en retard (nombre)</t>
  </si>
  <si>
    <t xml:space="preserve">Taux de cotisations à saisir (ex. 0,123 pour 12,3 %)</t>
  </si>
  <si>
    <t xml:space="preserve">Cotisations estimées sur l'encaissé</t>
  </si>
  <si>
    <t xml:space="preserve">Cellule jaune : à remplir par vous. Taux officiels : urssaf.fr.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</si>
</sst>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&quot; €&quot;;\-#,##0.00&quot; €&quot;;\-"/>
    <numFmt numFmtId="167" formatCode="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B3A"/>
      <name val="Arial"/>
      <family val="0"/>
      <charset val="1"/>
    </font>
    <font>
      <b val="true"/>
      <sz val="11"/>
      <color rgb="FF0B1B3A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B3A"/>
        <bgColor rgb="FF003300"/>
      </patternFill>
    </fill>
    <fill>
      <patternFill patternType="solid">
        <fgColor rgb="FFF2F2F2"/>
        <bgColor rgb="FFFFF9DB"/>
      </patternFill>
    </fill>
    <fill>
      <patternFill patternType="solid">
        <fgColor rgb="FFFFF9D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1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7777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9DB"/>
      <rgbColor rgb="FFF2F2F2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1B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23.8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23.85" hidden="false" customHeight="false" outlineLevel="0" collapsed="false">
      <c r="A18" s="3" t="s">
        <v>13</v>
      </c>
    </row>
    <row r="20" customFormat="false" ht="15" hidden="false" customHeight="false" outlineLevel="0" collapsed="false">
      <c r="A2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7" min="5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16</v>
      </c>
    </row>
    <row r="4" customFormat="false" ht="30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</row>
    <row r="5" customFormat="false" ht="15" hidden="false" customHeight="false" outlineLevel="0" collapsed="false">
      <c r="A5" s="6" t="s">
        <v>27</v>
      </c>
      <c r="B5" s="7" t="n">
        <v>46331</v>
      </c>
      <c r="C5" s="6" t="s">
        <v>28</v>
      </c>
      <c r="D5" s="6" t="s">
        <v>29</v>
      </c>
      <c r="E5" s="8" t="n">
        <v>100</v>
      </c>
      <c r="F5" s="6" t="s">
        <v>30</v>
      </c>
      <c r="G5" s="7" t="n">
        <v>46361</v>
      </c>
      <c r="H5" s="7"/>
      <c r="I5" s="9" t="str">
        <f aca="true">IF(AND(F5&lt;&gt;"Payée",G5&lt;&gt;"",G5&lt;TODAY()),TODAY()-G5,"")</f>
        <v/>
      </c>
      <c r="J5" s="6" t="s">
        <v>31</v>
      </c>
    </row>
    <row r="6" customFormat="false" ht="15" hidden="false" customHeight="false" outlineLevel="0" collapsed="false">
      <c r="A6" s="10"/>
      <c r="B6" s="11"/>
      <c r="C6" s="10"/>
      <c r="D6" s="10"/>
      <c r="E6" s="12"/>
      <c r="F6" s="10"/>
      <c r="G6" s="11"/>
      <c r="H6" s="11"/>
      <c r="I6" s="13" t="str">
        <f aca="true">IF(AND(F6&lt;&gt;"Payée",G6&lt;&gt;"",G6&lt;TODAY()),TODAY()-G6,"")</f>
        <v/>
      </c>
      <c r="J6" s="10"/>
    </row>
    <row r="7" customFormat="false" ht="15" hidden="false" customHeight="false" outlineLevel="0" collapsed="false">
      <c r="A7" s="10"/>
      <c r="B7" s="11"/>
      <c r="C7" s="10"/>
      <c r="D7" s="10"/>
      <c r="E7" s="12"/>
      <c r="F7" s="10"/>
      <c r="G7" s="11"/>
      <c r="H7" s="11"/>
      <c r="I7" s="13" t="str">
        <f aca="true">IF(AND(F7&lt;&gt;"Payée",G7&lt;&gt;"",G7&lt;TODAY()),TODAY()-G7,"")</f>
        <v/>
      </c>
      <c r="J7" s="10"/>
    </row>
    <row r="8" customFormat="false" ht="15" hidden="false" customHeight="false" outlineLevel="0" collapsed="false">
      <c r="A8" s="10"/>
      <c r="B8" s="11"/>
      <c r="C8" s="10"/>
      <c r="D8" s="10"/>
      <c r="E8" s="12"/>
      <c r="F8" s="10"/>
      <c r="G8" s="11"/>
      <c r="H8" s="11"/>
      <c r="I8" s="13" t="str">
        <f aca="true">IF(AND(F8&lt;&gt;"Payée",G8&lt;&gt;"",G8&lt;TODAY()),TODAY()-G8,"")</f>
        <v/>
      </c>
      <c r="J8" s="10"/>
    </row>
    <row r="9" customFormat="false" ht="15" hidden="false" customHeight="false" outlineLevel="0" collapsed="false">
      <c r="A9" s="10"/>
      <c r="B9" s="11"/>
      <c r="C9" s="10"/>
      <c r="D9" s="10"/>
      <c r="E9" s="12"/>
      <c r="F9" s="10"/>
      <c r="G9" s="11"/>
      <c r="H9" s="11"/>
      <c r="I9" s="13" t="str">
        <f aca="true">IF(AND(F9&lt;&gt;"Payée",G9&lt;&gt;"",G9&lt;TODAY()),TODAY()-G9,"")</f>
        <v/>
      </c>
      <c r="J9" s="10"/>
    </row>
    <row r="10" customFormat="false" ht="15" hidden="false" customHeight="false" outlineLevel="0" collapsed="false">
      <c r="A10" s="10"/>
      <c r="B10" s="11"/>
      <c r="C10" s="10"/>
      <c r="D10" s="10"/>
      <c r="E10" s="12"/>
      <c r="F10" s="10"/>
      <c r="G10" s="11"/>
      <c r="H10" s="11"/>
      <c r="I10" s="13" t="str">
        <f aca="true">IF(AND(F10&lt;&gt;"Payée",G10&lt;&gt;"",G10&lt;TODAY()),TODAY()-G10,"")</f>
        <v/>
      </c>
      <c r="J10" s="10"/>
    </row>
    <row r="11" customFormat="false" ht="15" hidden="false" customHeight="false" outlineLevel="0" collapsed="false">
      <c r="A11" s="10"/>
      <c r="B11" s="11"/>
      <c r="C11" s="10"/>
      <c r="D11" s="10"/>
      <c r="E11" s="12"/>
      <c r="F11" s="10"/>
      <c r="G11" s="11"/>
      <c r="H11" s="11"/>
      <c r="I11" s="13" t="str">
        <f aca="true">IF(AND(F11&lt;&gt;"Payée",G11&lt;&gt;"",G11&lt;TODAY()),TODAY()-G11,"")</f>
        <v/>
      </c>
      <c r="J11" s="10"/>
    </row>
    <row r="12" customFormat="false" ht="15" hidden="false" customHeight="false" outlineLevel="0" collapsed="false">
      <c r="A12" s="10"/>
      <c r="B12" s="11"/>
      <c r="C12" s="10"/>
      <c r="D12" s="10"/>
      <c r="E12" s="12"/>
      <c r="F12" s="10"/>
      <c r="G12" s="11"/>
      <c r="H12" s="11"/>
      <c r="I12" s="13" t="str">
        <f aca="true">IF(AND(F12&lt;&gt;"Payée",G12&lt;&gt;"",G12&lt;TODAY()),TODAY()-G12,"")</f>
        <v/>
      </c>
      <c r="J12" s="10"/>
    </row>
    <row r="13" customFormat="false" ht="15" hidden="false" customHeight="false" outlineLevel="0" collapsed="false">
      <c r="A13" s="10"/>
      <c r="B13" s="11"/>
      <c r="C13" s="10"/>
      <c r="D13" s="10"/>
      <c r="E13" s="12"/>
      <c r="F13" s="10"/>
      <c r="G13" s="11"/>
      <c r="H13" s="11"/>
      <c r="I13" s="13" t="str">
        <f aca="true">IF(AND(F13&lt;&gt;"Payée",G13&lt;&gt;"",G13&lt;TODAY()),TODAY()-G13,"")</f>
        <v/>
      </c>
      <c r="J13" s="10"/>
    </row>
    <row r="14" customFormat="false" ht="15" hidden="false" customHeight="false" outlineLevel="0" collapsed="false">
      <c r="A14" s="10"/>
      <c r="B14" s="11"/>
      <c r="C14" s="10"/>
      <c r="D14" s="10"/>
      <c r="E14" s="12"/>
      <c r="F14" s="10"/>
      <c r="G14" s="11"/>
      <c r="H14" s="11"/>
      <c r="I14" s="13" t="str">
        <f aca="true">IF(AND(F14&lt;&gt;"Payée",G14&lt;&gt;"",G14&lt;TODAY()),TODAY()-G14,"")</f>
        <v/>
      </c>
      <c r="J14" s="10"/>
    </row>
    <row r="15" customFormat="false" ht="15" hidden="false" customHeight="false" outlineLevel="0" collapsed="false">
      <c r="A15" s="10"/>
      <c r="B15" s="11"/>
      <c r="C15" s="10"/>
      <c r="D15" s="10"/>
      <c r="E15" s="12"/>
      <c r="F15" s="10"/>
      <c r="G15" s="11"/>
      <c r="H15" s="11"/>
      <c r="I15" s="13" t="str">
        <f aca="true">IF(AND(F15&lt;&gt;"Payée",G15&lt;&gt;"",G15&lt;TODAY()),TODAY()-G15,"")</f>
        <v/>
      </c>
      <c r="J15" s="10"/>
    </row>
    <row r="16" customFormat="false" ht="15" hidden="false" customHeight="false" outlineLevel="0" collapsed="false">
      <c r="A16" s="10"/>
      <c r="B16" s="11"/>
      <c r="C16" s="10"/>
      <c r="D16" s="10"/>
      <c r="E16" s="12"/>
      <c r="F16" s="10"/>
      <c r="G16" s="11"/>
      <c r="H16" s="11"/>
      <c r="I16" s="13" t="str">
        <f aca="true">IF(AND(F16&lt;&gt;"Payée",G16&lt;&gt;"",G16&lt;TODAY()),TODAY()-G16,"")</f>
        <v/>
      </c>
      <c r="J16" s="10"/>
    </row>
    <row r="17" customFormat="false" ht="15" hidden="false" customHeight="false" outlineLevel="0" collapsed="false">
      <c r="A17" s="10"/>
      <c r="B17" s="11"/>
      <c r="C17" s="10"/>
      <c r="D17" s="10"/>
      <c r="E17" s="12"/>
      <c r="F17" s="10"/>
      <c r="G17" s="11"/>
      <c r="H17" s="11"/>
      <c r="I17" s="13" t="str">
        <f aca="true">IF(AND(F17&lt;&gt;"Payée",G17&lt;&gt;"",G17&lt;TODAY()),TODAY()-G17,"")</f>
        <v/>
      </c>
      <c r="J17" s="10"/>
    </row>
    <row r="18" customFormat="false" ht="15" hidden="false" customHeight="false" outlineLevel="0" collapsed="false">
      <c r="A18" s="10"/>
      <c r="B18" s="11"/>
      <c r="C18" s="10"/>
      <c r="D18" s="10"/>
      <c r="E18" s="12"/>
      <c r="F18" s="10"/>
      <c r="G18" s="11"/>
      <c r="H18" s="11"/>
      <c r="I18" s="13" t="str">
        <f aca="true">IF(AND(F18&lt;&gt;"Payée",G18&lt;&gt;"",G18&lt;TODAY()),TODAY()-G18,"")</f>
        <v/>
      </c>
      <c r="J18" s="10"/>
    </row>
    <row r="19" customFormat="false" ht="15" hidden="false" customHeight="false" outlineLevel="0" collapsed="false">
      <c r="A19" s="10"/>
      <c r="B19" s="11"/>
      <c r="C19" s="10"/>
      <c r="D19" s="10"/>
      <c r="E19" s="12"/>
      <c r="F19" s="10"/>
      <c r="G19" s="11"/>
      <c r="H19" s="11"/>
      <c r="I19" s="13" t="str">
        <f aca="true">IF(AND(F19&lt;&gt;"Payée",G19&lt;&gt;"",G19&lt;TODAY()),TODAY()-G19,"")</f>
        <v/>
      </c>
      <c r="J19" s="10"/>
    </row>
    <row r="20" customFormat="false" ht="15" hidden="false" customHeight="false" outlineLevel="0" collapsed="false">
      <c r="A20" s="10"/>
      <c r="B20" s="11"/>
      <c r="C20" s="10"/>
      <c r="D20" s="10"/>
      <c r="E20" s="12"/>
      <c r="F20" s="10"/>
      <c r="G20" s="11"/>
      <c r="H20" s="11"/>
      <c r="I20" s="13" t="str">
        <f aca="true">IF(AND(F20&lt;&gt;"Payée",G20&lt;&gt;"",G20&lt;TODAY()),TODAY()-G20,"")</f>
        <v/>
      </c>
      <c r="J20" s="10"/>
    </row>
    <row r="21" customFormat="false" ht="15" hidden="false" customHeight="false" outlineLevel="0" collapsed="false">
      <c r="A21" s="10"/>
      <c r="B21" s="11"/>
      <c r="C21" s="10"/>
      <c r="D21" s="10"/>
      <c r="E21" s="12"/>
      <c r="F21" s="10"/>
      <c r="G21" s="11"/>
      <c r="H21" s="11"/>
      <c r="I21" s="13" t="str">
        <f aca="true">IF(AND(F21&lt;&gt;"Payée",G21&lt;&gt;"",G21&lt;TODAY()),TODAY()-G21,"")</f>
        <v/>
      </c>
      <c r="J21" s="10"/>
    </row>
    <row r="22" customFormat="false" ht="15" hidden="false" customHeight="false" outlineLevel="0" collapsed="false">
      <c r="A22" s="10"/>
      <c r="B22" s="11"/>
      <c r="C22" s="10"/>
      <c r="D22" s="10"/>
      <c r="E22" s="12"/>
      <c r="F22" s="10"/>
      <c r="G22" s="11"/>
      <c r="H22" s="11"/>
      <c r="I22" s="13" t="str">
        <f aca="true">IF(AND(F22&lt;&gt;"Payée",G22&lt;&gt;"",G22&lt;TODAY()),TODAY()-G22,"")</f>
        <v/>
      </c>
      <c r="J22" s="10"/>
    </row>
    <row r="23" customFormat="false" ht="15" hidden="false" customHeight="false" outlineLevel="0" collapsed="false">
      <c r="A23" s="10"/>
      <c r="B23" s="11"/>
      <c r="C23" s="10"/>
      <c r="D23" s="10"/>
      <c r="E23" s="12"/>
      <c r="F23" s="10"/>
      <c r="G23" s="11"/>
      <c r="H23" s="11"/>
      <c r="I23" s="13" t="str">
        <f aca="true">IF(AND(F23&lt;&gt;"Payée",G23&lt;&gt;"",G23&lt;TODAY()),TODAY()-G23,"")</f>
        <v/>
      </c>
      <c r="J23" s="10"/>
    </row>
    <row r="24" customFormat="false" ht="15" hidden="false" customHeight="false" outlineLevel="0" collapsed="false">
      <c r="A24" s="10"/>
      <c r="B24" s="11"/>
      <c r="C24" s="10"/>
      <c r="D24" s="10"/>
      <c r="E24" s="12"/>
      <c r="F24" s="10"/>
      <c r="G24" s="11"/>
      <c r="H24" s="11"/>
      <c r="I24" s="13" t="str">
        <f aca="true">IF(AND(F24&lt;&gt;"Payée",G24&lt;&gt;"",G24&lt;TODAY()),TODAY()-G24,"")</f>
        <v/>
      </c>
      <c r="J24" s="10"/>
    </row>
    <row r="25" customFormat="false" ht="15" hidden="false" customHeight="false" outlineLevel="0" collapsed="false">
      <c r="A25" s="10"/>
      <c r="B25" s="11"/>
      <c r="C25" s="10"/>
      <c r="D25" s="10"/>
      <c r="E25" s="12"/>
      <c r="F25" s="10"/>
      <c r="G25" s="11"/>
      <c r="H25" s="11"/>
      <c r="I25" s="13" t="str">
        <f aca="true">IF(AND(F25&lt;&gt;"Payée",G25&lt;&gt;"",G25&lt;TODAY()),TODAY()-G25,"")</f>
        <v/>
      </c>
      <c r="J25" s="10"/>
    </row>
    <row r="26" customFormat="false" ht="15" hidden="false" customHeight="false" outlineLevel="0" collapsed="false">
      <c r="A26" s="10"/>
      <c r="B26" s="11"/>
      <c r="C26" s="10"/>
      <c r="D26" s="10"/>
      <c r="E26" s="12"/>
      <c r="F26" s="10"/>
      <c r="G26" s="11"/>
      <c r="H26" s="11"/>
      <c r="I26" s="13" t="str">
        <f aca="true">IF(AND(F26&lt;&gt;"Payée",G26&lt;&gt;"",G26&lt;TODAY()),TODAY()-G26,"")</f>
        <v/>
      </c>
      <c r="J26" s="10"/>
    </row>
    <row r="27" customFormat="false" ht="15" hidden="false" customHeight="false" outlineLevel="0" collapsed="false">
      <c r="A27" s="10"/>
      <c r="B27" s="11"/>
      <c r="C27" s="10"/>
      <c r="D27" s="10"/>
      <c r="E27" s="12"/>
      <c r="F27" s="10"/>
      <c r="G27" s="11"/>
      <c r="H27" s="11"/>
      <c r="I27" s="13" t="str">
        <f aca="true">IF(AND(F27&lt;&gt;"Payée",G27&lt;&gt;"",G27&lt;TODAY()),TODAY()-G27,"")</f>
        <v/>
      </c>
      <c r="J27" s="10"/>
    </row>
    <row r="28" customFormat="false" ht="15" hidden="false" customHeight="false" outlineLevel="0" collapsed="false">
      <c r="A28" s="10"/>
      <c r="B28" s="11"/>
      <c r="C28" s="10"/>
      <c r="D28" s="10"/>
      <c r="E28" s="12"/>
      <c r="F28" s="10"/>
      <c r="G28" s="11"/>
      <c r="H28" s="11"/>
      <c r="I28" s="13" t="str">
        <f aca="true">IF(AND(F28&lt;&gt;"Payée",G28&lt;&gt;"",G28&lt;TODAY()),TODAY()-G28,"")</f>
        <v/>
      </c>
      <c r="J28" s="10"/>
    </row>
    <row r="29" customFormat="false" ht="15" hidden="false" customHeight="false" outlineLevel="0" collapsed="false">
      <c r="A29" s="10"/>
      <c r="B29" s="11"/>
      <c r="C29" s="10"/>
      <c r="D29" s="10"/>
      <c r="E29" s="12"/>
      <c r="F29" s="10"/>
      <c r="G29" s="11"/>
      <c r="H29" s="11"/>
      <c r="I29" s="13" t="str">
        <f aca="true">IF(AND(F29&lt;&gt;"Payée",G29&lt;&gt;"",G29&lt;TODAY()),TODAY()-G29,"")</f>
        <v/>
      </c>
      <c r="J29" s="10"/>
    </row>
    <row r="30" customFormat="false" ht="15" hidden="false" customHeight="false" outlineLevel="0" collapsed="false">
      <c r="A30" s="10"/>
      <c r="B30" s="11"/>
      <c r="C30" s="10"/>
      <c r="D30" s="10"/>
      <c r="E30" s="12"/>
      <c r="F30" s="10"/>
      <c r="G30" s="11"/>
      <c r="H30" s="11"/>
      <c r="I30" s="13" t="str">
        <f aca="true">IF(AND(F30&lt;&gt;"Payée",G30&lt;&gt;"",G30&lt;TODAY()),TODAY()-G30,"")</f>
        <v/>
      </c>
      <c r="J30" s="10"/>
    </row>
    <row r="31" customFormat="false" ht="15" hidden="false" customHeight="false" outlineLevel="0" collapsed="false">
      <c r="A31" s="10"/>
      <c r="B31" s="11"/>
      <c r="C31" s="10"/>
      <c r="D31" s="10"/>
      <c r="E31" s="12"/>
      <c r="F31" s="10"/>
      <c r="G31" s="11"/>
      <c r="H31" s="11"/>
      <c r="I31" s="13" t="str">
        <f aca="true">IF(AND(F31&lt;&gt;"Payée",G31&lt;&gt;"",G31&lt;TODAY()),TODAY()-G31,"")</f>
        <v/>
      </c>
      <c r="J31" s="10"/>
    </row>
    <row r="32" customFormat="false" ht="15" hidden="false" customHeight="false" outlineLevel="0" collapsed="false">
      <c r="A32" s="10"/>
      <c r="B32" s="11"/>
      <c r="C32" s="10"/>
      <c r="D32" s="10"/>
      <c r="E32" s="12"/>
      <c r="F32" s="10"/>
      <c r="G32" s="11"/>
      <c r="H32" s="11"/>
      <c r="I32" s="13" t="str">
        <f aca="true">IF(AND(F32&lt;&gt;"Payée",G32&lt;&gt;"",G32&lt;TODAY()),TODAY()-G32,"")</f>
        <v/>
      </c>
      <c r="J32" s="10"/>
    </row>
    <row r="33" customFormat="false" ht="15" hidden="false" customHeight="false" outlineLevel="0" collapsed="false">
      <c r="A33" s="10"/>
      <c r="B33" s="11"/>
      <c r="C33" s="10"/>
      <c r="D33" s="10"/>
      <c r="E33" s="12"/>
      <c r="F33" s="10"/>
      <c r="G33" s="11"/>
      <c r="H33" s="11"/>
      <c r="I33" s="13" t="str">
        <f aca="true">IF(AND(F33&lt;&gt;"Payée",G33&lt;&gt;"",G33&lt;TODAY()),TODAY()-G33,"")</f>
        <v/>
      </c>
      <c r="J33" s="10"/>
    </row>
    <row r="34" customFormat="false" ht="15" hidden="false" customHeight="false" outlineLevel="0" collapsed="false">
      <c r="A34" s="10"/>
      <c r="B34" s="11"/>
      <c r="C34" s="10"/>
      <c r="D34" s="10"/>
      <c r="E34" s="12"/>
      <c r="F34" s="10"/>
      <c r="G34" s="11"/>
      <c r="H34" s="11"/>
      <c r="I34" s="13" t="str">
        <f aca="true">IF(AND(F34&lt;&gt;"Payée",G34&lt;&gt;"",G34&lt;TODAY()),TODAY()-G34,"")</f>
        <v/>
      </c>
      <c r="J34" s="10"/>
    </row>
    <row r="35" customFormat="false" ht="15" hidden="false" customHeight="false" outlineLevel="0" collapsed="false">
      <c r="A35" s="10"/>
      <c r="B35" s="11"/>
      <c r="C35" s="10"/>
      <c r="D35" s="10"/>
      <c r="E35" s="12"/>
      <c r="F35" s="10"/>
      <c r="G35" s="11"/>
      <c r="H35" s="11"/>
      <c r="I35" s="13" t="str">
        <f aca="true">IF(AND(F35&lt;&gt;"Payée",G35&lt;&gt;"",G35&lt;TODAY()),TODAY()-G35,"")</f>
        <v/>
      </c>
      <c r="J35" s="10"/>
    </row>
    <row r="36" customFormat="false" ht="15" hidden="false" customHeight="false" outlineLevel="0" collapsed="false">
      <c r="A36" s="10"/>
      <c r="B36" s="11"/>
      <c r="C36" s="10"/>
      <c r="D36" s="10"/>
      <c r="E36" s="12"/>
      <c r="F36" s="10"/>
      <c r="G36" s="11"/>
      <c r="H36" s="11"/>
      <c r="I36" s="13" t="str">
        <f aca="true">IF(AND(F36&lt;&gt;"Payée",G36&lt;&gt;"",G36&lt;TODAY()),TODAY()-G36,"")</f>
        <v/>
      </c>
      <c r="J36" s="10"/>
    </row>
    <row r="37" customFormat="false" ht="15" hidden="false" customHeight="false" outlineLevel="0" collapsed="false">
      <c r="A37" s="10"/>
      <c r="B37" s="11"/>
      <c r="C37" s="10"/>
      <c r="D37" s="10"/>
      <c r="E37" s="12"/>
      <c r="F37" s="10"/>
      <c r="G37" s="11"/>
      <c r="H37" s="11"/>
      <c r="I37" s="13" t="str">
        <f aca="true">IF(AND(F37&lt;&gt;"Payée",G37&lt;&gt;"",G37&lt;TODAY()),TODAY()-G37,"")</f>
        <v/>
      </c>
      <c r="J37" s="10"/>
    </row>
    <row r="38" customFormat="false" ht="15" hidden="false" customHeight="false" outlineLevel="0" collapsed="false">
      <c r="A38" s="10"/>
      <c r="B38" s="11"/>
      <c r="C38" s="10"/>
      <c r="D38" s="10"/>
      <c r="E38" s="12"/>
      <c r="F38" s="10"/>
      <c r="G38" s="11"/>
      <c r="H38" s="11"/>
      <c r="I38" s="13" t="str">
        <f aca="true">IF(AND(F38&lt;&gt;"Payée",G38&lt;&gt;"",G38&lt;TODAY()),TODAY()-G38,"")</f>
        <v/>
      </c>
      <c r="J38" s="10"/>
    </row>
    <row r="39" customFormat="false" ht="15" hidden="false" customHeight="false" outlineLevel="0" collapsed="false">
      <c r="A39" s="10"/>
      <c r="B39" s="11"/>
      <c r="C39" s="10"/>
      <c r="D39" s="10"/>
      <c r="E39" s="12"/>
      <c r="F39" s="10"/>
      <c r="G39" s="11"/>
      <c r="H39" s="11"/>
      <c r="I39" s="13" t="str">
        <f aca="true">IF(AND(F39&lt;&gt;"Payée",G39&lt;&gt;"",G39&lt;TODAY()),TODAY()-G39,"")</f>
        <v/>
      </c>
      <c r="J39" s="10"/>
    </row>
    <row r="40" customFormat="false" ht="15" hidden="false" customHeight="false" outlineLevel="0" collapsed="false">
      <c r="A40" s="10"/>
      <c r="B40" s="11"/>
      <c r="C40" s="10"/>
      <c r="D40" s="10"/>
      <c r="E40" s="12"/>
      <c r="F40" s="10"/>
      <c r="G40" s="11"/>
      <c r="H40" s="11"/>
      <c r="I40" s="13" t="str">
        <f aca="true">IF(AND(F40&lt;&gt;"Payée",G40&lt;&gt;"",G40&lt;TODAY()),TODAY()-G40,"")</f>
        <v/>
      </c>
      <c r="J40" s="10"/>
    </row>
    <row r="41" customFormat="false" ht="15" hidden="false" customHeight="false" outlineLevel="0" collapsed="false">
      <c r="A41" s="10"/>
      <c r="B41" s="11"/>
      <c r="C41" s="10"/>
      <c r="D41" s="10"/>
      <c r="E41" s="12"/>
      <c r="F41" s="10"/>
      <c r="G41" s="11"/>
      <c r="H41" s="11"/>
      <c r="I41" s="13" t="str">
        <f aca="true">IF(AND(F41&lt;&gt;"Payée",G41&lt;&gt;"",G41&lt;TODAY()),TODAY()-G41,"")</f>
        <v/>
      </c>
      <c r="J41" s="10"/>
    </row>
    <row r="42" customFormat="false" ht="15" hidden="false" customHeight="false" outlineLevel="0" collapsed="false">
      <c r="A42" s="10"/>
      <c r="B42" s="11"/>
      <c r="C42" s="10"/>
      <c r="D42" s="10"/>
      <c r="E42" s="12"/>
      <c r="F42" s="10"/>
      <c r="G42" s="11"/>
      <c r="H42" s="11"/>
      <c r="I42" s="13" t="str">
        <f aca="true">IF(AND(F42&lt;&gt;"Payée",G42&lt;&gt;"",G42&lt;TODAY()),TODAY()-G42,"")</f>
        <v/>
      </c>
      <c r="J42" s="10"/>
    </row>
    <row r="43" customFormat="false" ht="15" hidden="false" customHeight="false" outlineLevel="0" collapsed="false">
      <c r="A43" s="10"/>
      <c r="B43" s="11"/>
      <c r="C43" s="10"/>
      <c r="D43" s="10"/>
      <c r="E43" s="12"/>
      <c r="F43" s="10"/>
      <c r="G43" s="11"/>
      <c r="H43" s="11"/>
      <c r="I43" s="13" t="str">
        <f aca="true">IF(AND(F43&lt;&gt;"Payée",G43&lt;&gt;"",G43&lt;TODAY()),TODAY()-G43,"")</f>
        <v/>
      </c>
      <c r="J43" s="10"/>
    </row>
    <row r="44" customFormat="false" ht="15" hidden="false" customHeight="false" outlineLevel="0" collapsed="false">
      <c r="A44" s="10"/>
      <c r="B44" s="11"/>
      <c r="C44" s="10"/>
      <c r="D44" s="10"/>
      <c r="E44" s="12"/>
      <c r="F44" s="10"/>
      <c r="G44" s="11"/>
      <c r="H44" s="11"/>
      <c r="I44" s="13" t="str">
        <f aca="true">IF(AND(F44&lt;&gt;"Payée",G44&lt;&gt;"",G44&lt;TODAY()),TODAY()-G44,"")</f>
        <v/>
      </c>
      <c r="J44" s="10"/>
    </row>
    <row r="45" customFormat="false" ht="15" hidden="false" customHeight="false" outlineLevel="0" collapsed="false">
      <c r="A45" s="10"/>
      <c r="B45" s="11"/>
      <c r="C45" s="10"/>
      <c r="D45" s="10"/>
      <c r="E45" s="12"/>
      <c r="F45" s="10"/>
      <c r="G45" s="11"/>
      <c r="H45" s="11"/>
      <c r="I45" s="13" t="str">
        <f aca="true">IF(AND(F45&lt;&gt;"Payée",G45&lt;&gt;"",G45&lt;TODAY()),TODAY()-G45,"")</f>
        <v/>
      </c>
      <c r="J45" s="10"/>
    </row>
    <row r="46" customFormat="false" ht="15" hidden="false" customHeight="false" outlineLevel="0" collapsed="false">
      <c r="A46" s="10"/>
      <c r="B46" s="11"/>
      <c r="C46" s="10"/>
      <c r="D46" s="10"/>
      <c r="E46" s="12"/>
      <c r="F46" s="10"/>
      <c r="G46" s="11"/>
      <c r="H46" s="11"/>
      <c r="I46" s="13" t="str">
        <f aca="true">IF(AND(F46&lt;&gt;"Payée",G46&lt;&gt;"",G46&lt;TODAY()),TODAY()-G46,"")</f>
        <v/>
      </c>
      <c r="J46" s="10"/>
    </row>
    <row r="47" customFormat="false" ht="15" hidden="false" customHeight="false" outlineLevel="0" collapsed="false">
      <c r="A47" s="10"/>
      <c r="B47" s="11"/>
      <c r="C47" s="10"/>
      <c r="D47" s="10"/>
      <c r="E47" s="12"/>
      <c r="F47" s="10"/>
      <c r="G47" s="11"/>
      <c r="H47" s="11"/>
      <c r="I47" s="13" t="str">
        <f aca="true">IF(AND(F47&lt;&gt;"Payée",G47&lt;&gt;"",G47&lt;TODAY()),TODAY()-G47,"")</f>
        <v/>
      </c>
      <c r="J47" s="10"/>
    </row>
    <row r="48" customFormat="false" ht="15" hidden="false" customHeight="false" outlineLevel="0" collapsed="false">
      <c r="A48" s="10"/>
      <c r="B48" s="11"/>
      <c r="C48" s="10"/>
      <c r="D48" s="10"/>
      <c r="E48" s="12"/>
      <c r="F48" s="10"/>
      <c r="G48" s="11"/>
      <c r="H48" s="11"/>
      <c r="I48" s="13" t="str">
        <f aca="true">IF(AND(F48&lt;&gt;"Payée",G48&lt;&gt;"",G48&lt;TODAY()),TODAY()-G48,"")</f>
        <v/>
      </c>
      <c r="J48" s="10"/>
    </row>
    <row r="49" customFormat="false" ht="15" hidden="false" customHeight="false" outlineLevel="0" collapsed="false">
      <c r="A49" s="10"/>
      <c r="B49" s="11"/>
      <c r="C49" s="10"/>
      <c r="D49" s="10"/>
      <c r="E49" s="12"/>
      <c r="F49" s="10"/>
      <c r="G49" s="11"/>
      <c r="H49" s="11"/>
      <c r="I49" s="13" t="str">
        <f aca="true">IF(AND(F49&lt;&gt;"Payée",G49&lt;&gt;"",G49&lt;TODAY()),TODAY()-G49,"")</f>
        <v/>
      </c>
      <c r="J49" s="10"/>
    </row>
    <row r="50" customFormat="false" ht="15" hidden="false" customHeight="false" outlineLevel="0" collapsed="false">
      <c r="A50" s="10"/>
      <c r="B50" s="11"/>
      <c r="C50" s="10"/>
      <c r="D50" s="10"/>
      <c r="E50" s="12"/>
      <c r="F50" s="10"/>
      <c r="G50" s="11"/>
      <c r="H50" s="11"/>
      <c r="I50" s="13" t="str">
        <f aca="true">IF(AND(F50&lt;&gt;"Payée",G50&lt;&gt;"",G50&lt;TODAY()),TODAY()-G50,"")</f>
        <v/>
      </c>
      <c r="J50" s="10"/>
    </row>
    <row r="51" customFormat="false" ht="15" hidden="false" customHeight="false" outlineLevel="0" collapsed="false">
      <c r="A51" s="10"/>
      <c r="B51" s="11"/>
      <c r="C51" s="10"/>
      <c r="D51" s="10"/>
      <c r="E51" s="12"/>
      <c r="F51" s="10"/>
      <c r="G51" s="11"/>
      <c r="H51" s="11"/>
      <c r="I51" s="13" t="str">
        <f aca="true">IF(AND(F51&lt;&gt;"Payée",G51&lt;&gt;"",G51&lt;TODAY()),TODAY()-G51,"")</f>
        <v/>
      </c>
      <c r="J51" s="10"/>
    </row>
    <row r="52" customFormat="false" ht="15" hidden="false" customHeight="false" outlineLevel="0" collapsed="false">
      <c r="A52" s="10"/>
      <c r="B52" s="11"/>
      <c r="C52" s="10"/>
      <c r="D52" s="10"/>
      <c r="E52" s="12"/>
      <c r="F52" s="10"/>
      <c r="G52" s="11"/>
      <c r="H52" s="11"/>
      <c r="I52" s="13" t="str">
        <f aca="true">IF(AND(F52&lt;&gt;"Payée",G52&lt;&gt;"",G52&lt;TODAY()),TODAY()-G52,"")</f>
        <v/>
      </c>
      <c r="J52" s="10"/>
    </row>
    <row r="53" customFormat="false" ht="15" hidden="false" customHeight="false" outlineLevel="0" collapsed="false">
      <c r="A53" s="10"/>
      <c r="B53" s="11"/>
      <c r="C53" s="10"/>
      <c r="D53" s="10"/>
      <c r="E53" s="12"/>
      <c r="F53" s="10"/>
      <c r="G53" s="11"/>
      <c r="H53" s="11"/>
      <c r="I53" s="13" t="str">
        <f aca="true">IF(AND(F53&lt;&gt;"Payée",G53&lt;&gt;"",G53&lt;TODAY()),TODAY()-G53,"")</f>
        <v/>
      </c>
      <c r="J53" s="10"/>
    </row>
    <row r="54" customFormat="false" ht="15" hidden="false" customHeight="false" outlineLevel="0" collapsed="false">
      <c r="A54" s="10"/>
      <c r="B54" s="11"/>
      <c r="C54" s="10"/>
      <c r="D54" s="10"/>
      <c r="E54" s="12"/>
      <c r="F54" s="10"/>
      <c r="G54" s="11"/>
      <c r="H54" s="11"/>
      <c r="I54" s="13" t="str">
        <f aca="true">IF(AND(F54&lt;&gt;"Payée",G54&lt;&gt;"",G54&lt;TODAY()),TODAY()-G54,"")</f>
        <v/>
      </c>
      <c r="J54" s="10"/>
    </row>
    <row r="55" customFormat="false" ht="15" hidden="false" customHeight="false" outlineLevel="0" collapsed="false">
      <c r="A55" s="10"/>
      <c r="B55" s="11"/>
      <c r="C55" s="10"/>
      <c r="D55" s="10"/>
      <c r="E55" s="12"/>
      <c r="F55" s="10"/>
      <c r="G55" s="11"/>
      <c r="H55" s="11"/>
      <c r="I55" s="13" t="str">
        <f aca="true">IF(AND(F55&lt;&gt;"Payée",G55&lt;&gt;"",G55&lt;TODAY()),TODAY()-G55,"")</f>
        <v/>
      </c>
      <c r="J55" s="10"/>
    </row>
    <row r="56" customFormat="false" ht="15" hidden="false" customHeight="false" outlineLevel="0" collapsed="false">
      <c r="A56" s="10"/>
      <c r="B56" s="11"/>
      <c r="C56" s="10"/>
      <c r="D56" s="10"/>
      <c r="E56" s="12"/>
      <c r="F56" s="10"/>
      <c r="G56" s="11"/>
      <c r="H56" s="11"/>
      <c r="I56" s="13" t="str">
        <f aca="true">IF(AND(F56&lt;&gt;"Payée",G56&lt;&gt;"",G56&lt;TODAY()),TODAY()-G56,"")</f>
        <v/>
      </c>
      <c r="J56" s="10"/>
    </row>
    <row r="57" customFormat="false" ht="15" hidden="false" customHeight="false" outlineLevel="0" collapsed="false">
      <c r="A57" s="10"/>
      <c r="B57" s="11"/>
      <c r="C57" s="10"/>
      <c r="D57" s="10"/>
      <c r="E57" s="12"/>
      <c r="F57" s="10"/>
      <c r="G57" s="11"/>
      <c r="H57" s="11"/>
      <c r="I57" s="13" t="str">
        <f aca="true">IF(AND(F57&lt;&gt;"Payée",G57&lt;&gt;"",G57&lt;TODAY()),TODAY()-G57,"")</f>
        <v/>
      </c>
      <c r="J57" s="10"/>
    </row>
    <row r="58" customFormat="false" ht="15" hidden="false" customHeight="false" outlineLevel="0" collapsed="false">
      <c r="A58" s="10"/>
      <c r="B58" s="11"/>
      <c r="C58" s="10"/>
      <c r="D58" s="10"/>
      <c r="E58" s="12"/>
      <c r="F58" s="10"/>
      <c r="G58" s="11"/>
      <c r="H58" s="11"/>
      <c r="I58" s="13" t="str">
        <f aca="true">IF(AND(F58&lt;&gt;"Payée",G58&lt;&gt;"",G58&lt;TODAY()),TODAY()-G58,"")</f>
        <v/>
      </c>
      <c r="J58" s="10"/>
    </row>
    <row r="59" customFormat="false" ht="15" hidden="false" customHeight="false" outlineLevel="0" collapsed="false">
      <c r="A59" s="10"/>
      <c r="B59" s="11"/>
      <c r="C59" s="10"/>
      <c r="D59" s="10"/>
      <c r="E59" s="12"/>
      <c r="F59" s="10"/>
      <c r="G59" s="11"/>
      <c r="H59" s="11"/>
      <c r="I59" s="13" t="str">
        <f aca="true">IF(AND(F59&lt;&gt;"Payée",G59&lt;&gt;"",G59&lt;TODAY()),TODAY()-G59,"")</f>
        <v/>
      </c>
      <c r="J59" s="10"/>
    </row>
    <row r="60" customFormat="false" ht="15" hidden="false" customHeight="false" outlineLevel="0" collapsed="false">
      <c r="A60" s="10"/>
      <c r="B60" s="11"/>
      <c r="C60" s="10"/>
      <c r="D60" s="10"/>
      <c r="E60" s="12"/>
      <c r="F60" s="10"/>
      <c r="G60" s="11"/>
      <c r="H60" s="11"/>
      <c r="I60" s="13" t="str">
        <f aca="true">IF(AND(F60&lt;&gt;"Payée",G60&lt;&gt;"",G60&lt;TODAY()),TODAY()-G60,"")</f>
        <v/>
      </c>
      <c r="J60" s="10"/>
    </row>
    <row r="61" customFormat="false" ht="15" hidden="false" customHeight="false" outlineLevel="0" collapsed="false">
      <c r="A61" s="10"/>
      <c r="B61" s="11"/>
      <c r="C61" s="10"/>
      <c r="D61" s="10"/>
      <c r="E61" s="12"/>
      <c r="F61" s="10"/>
      <c r="G61" s="11"/>
      <c r="H61" s="11"/>
      <c r="I61" s="13" t="str">
        <f aca="true">IF(AND(F61&lt;&gt;"Payée",G61&lt;&gt;"",G61&lt;TODAY()),TODAY()-G61,"")</f>
        <v/>
      </c>
      <c r="J61" s="10"/>
    </row>
    <row r="62" customFormat="false" ht="15" hidden="false" customHeight="false" outlineLevel="0" collapsed="false">
      <c r="A62" s="10"/>
      <c r="B62" s="11"/>
      <c r="C62" s="10"/>
      <c r="D62" s="10"/>
      <c r="E62" s="12"/>
      <c r="F62" s="10"/>
      <c r="G62" s="11"/>
      <c r="H62" s="11"/>
      <c r="I62" s="13" t="str">
        <f aca="true">IF(AND(F62&lt;&gt;"Payée",G62&lt;&gt;"",G62&lt;TODAY()),TODAY()-G62,"")</f>
        <v/>
      </c>
      <c r="J62" s="10"/>
    </row>
    <row r="63" customFormat="false" ht="15" hidden="false" customHeight="false" outlineLevel="0" collapsed="false">
      <c r="A63" s="10"/>
      <c r="B63" s="11"/>
      <c r="C63" s="10"/>
      <c r="D63" s="10"/>
      <c r="E63" s="12"/>
      <c r="F63" s="10"/>
      <c r="G63" s="11"/>
      <c r="H63" s="11"/>
      <c r="I63" s="13" t="str">
        <f aca="true">IF(AND(F63&lt;&gt;"Payée",G63&lt;&gt;"",G63&lt;TODAY()),TODAY()-G63,"")</f>
        <v/>
      </c>
      <c r="J63" s="10"/>
    </row>
    <row r="64" customFormat="false" ht="15" hidden="false" customHeight="false" outlineLevel="0" collapsed="false">
      <c r="A64" s="10"/>
      <c r="B64" s="11"/>
      <c r="C64" s="10"/>
      <c r="D64" s="10"/>
      <c r="E64" s="12"/>
      <c r="F64" s="10"/>
      <c r="G64" s="11"/>
      <c r="H64" s="11"/>
      <c r="I64" s="13" t="str">
        <f aca="true">IF(AND(F64&lt;&gt;"Payée",G64&lt;&gt;"",G64&lt;TODAY()),TODAY()-G64,"")</f>
        <v/>
      </c>
      <c r="J64" s="10"/>
    </row>
    <row r="65" customFormat="false" ht="15" hidden="false" customHeight="false" outlineLevel="0" collapsed="false">
      <c r="A65" s="10"/>
      <c r="B65" s="11"/>
      <c r="C65" s="10"/>
      <c r="D65" s="10"/>
      <c r="E65" s="12"/>
      <c r="F65" s="10"/>
      <c r="G65" s="11"/>
      <c r="H65" s="11"/>
      <c r="I65" s="13" t="str">
        <f aca="true">IF(AND(F65&lt;&gt;"Payée",G65&lt;&gt;"",G65&lt;TODAY()),TODAY()-G65,"")</f>
        <v/>
      </c>
      <c r="J65" s="10"/>
    </row>
    <row r="66" customFormat="false" ht="15" hidden="false" customHeight="false" outlineLevel="0" collapsed="false">
      <c r="A66" s="10"/>
      <c r="B66" s="11"/>
      <c r="C66" s="10"/>
      <c r="D66" s="10"/>
      <c r="E66" s="12"/>
      <c r="F66" s="10"/>
      <c r="G66" s="11"/>
      <c r="H66" s="11"/>
      <c r="I66" s="13" t="str">
        <f aca="true">IF(AND(F66&lt;&gt;"Payée",G66&lt;&gt;"",G66&lt;TODAY()),TODAY()-G66,"")</f>
        <v/>
      </c>
      <c r="J66" s="10"/>
    </row>
    <row r="67" customFormat="false" ht="15" hidden="false" customHeight="false" outlineLevel="0" collapsed="false">
      <c r="A67" s="10"/>
      <c r="B67" s="11"/>
      <c r="C67" s="10"/>
      <c r="D67" s="10"/>
      <c r="E67" s="12"/>
      <c r="F67" s="10"/>
      <c r="G67" s="11"/>
      <c r="H67" s="11"/>
      <c r="I67" s="13" t="str">
        <f aca="true">IF(AND(F67&lt;&gt;"Payée",G67&lt;&gt;"",G67&lt;TODAY()),TODAY()-G67,"")</f>
        <v/>
      </c>
      <c r="J67" s="10"/>
    </row>
    <row r="68" customFormat="false" ht="15" hidden="false" customHeight="false" outlineLevel="0" collapsed="false">
      <c r="A68" s="10"/>
      <c r="B68" s="11"/>
      <c r="C68" s="10"/>
      <c r="D68" s="10"/>
      <c r="E68" s="12"/>
      <c r="F68" s="10"/>
      <c r="G68" s="11"/>
      <c r="H68" s="11"/>
      <c r="I68" s="13" t="str">
        <f aca="true">IF(AND(F68&lt;&gt;"Payée",G68&lt;&gt;"",G68&lt;TODAY()),TODAY()-G68,"")</f>
        <v/>
      </c>
      <c r="J68" s="10"/>
    </row>
    <row r="69" customFormat="false" ht="15" hidden="false" customHeight="false" outlineLevel="0" collapsed="false">
      <c r="A69" s="10"/>
      <c r="B69" s="11"/>
      <c r="C69" s="10"/>
      <c r="D69" s="10"/>
      <c r="E69" s="12"/>
      <c r="F69" s="10"/>
      <c r="G69" s="11"/>
      <c r="H69" s="11"/>
      <c r="I69" s="13" t="str">
        <f aca="true">IF(AND(F69&lt;&gt;"Payée",G69&lt;&gt;"",G69&lt;TODAY()),TODAY()-G69,"")</f>
        <v/>
      </c>
      <c r="J69" s="10"/>
    </row>
    <row r="70" customFormat="false" ht="15" hidden="false" customHeight="false" outlineLevel="0" collapsed="false">
      <c r="A70" s="10"/>
      <c r="B70" s="11"/>
      <c r="C70" s="10"/>
      <c r="D70" s="10"/>
      <c r="E70" s="12"/>
      <c r="F70" s="10"/>
      <c r="G70" s="11"/>
      <c r="H70" s="11"/>
      <c r="I70" s="13" t="str">
        <f aca="true">IF(AND(F70&lt;&gt;"Payée",G70&lt;&gt;"",G70&lt;TODAY()),TODAY()-G70,"")</f>
        <v/>
      </c>
      <c r="J70" s="10"/>
    </row>
    <row r="71" customFormat="false" ht="15" hidden="false" customHeight="false" outlineLevel="0" collapsed="false">
      <c r="A71" s="10"/>
      <c r="B71" s="11"/>
      <c r="C71" s="10"/>
      <c r="D71" s="10"/>
      <c r="E71" s="12"/>
      <c r="F71" s="10"/>
      <c r="G71" s="11"/>
      <c r="H71" s="11"/>
      <c r="I71" s="13" t="str">
        <f aca="true">IF(AND(F71&lt;&gt;"Payée",G71&lt;&gt;"",G71&lt;TODAY()),TODAY()-G71,"")</f>
        <v/>
      </c>
      <c r="J71" s="10"/>
    </row>
    <row r="72" customFormat="false" ht="15" hidden="false" customHeight="false" outlineLevel="0" collapsed="false">
      <c r="A72" s="10"/>
      <c r="B72" s="11"/>
      <c r="C72" s="10"/>
      <c r="D72" s="10"/>
      <c r="E72" s="12"/>
      <c r="F72" s="10"/>
      <c r="G72" s="11"/>
      <c r="H72" s="11"/>
      <c r="I72" s="13" t="str">
        <f aca="true">IF(AND(F72&lt;&gt;"Payée",G72&lt;&gt;"",G72&lt;TODAY()),TODAY()-G72,"")</f>
        <v/>
      </c>
      <c r="J72" s="10"/>
    </row>
    <row r="73" customFormat="false" ht="15" hidden="false" customHeight="false" outlineLevel="0" collapsed="false">
      <c r="A73" s="10"/>
      <c r="B73" s="11"/>
      <c r="C73" s="10"/>
      <c r="D73" s="10"/>
      <c r="E73" s="12"/>
      <c r="F73" s="10"/>
      <c r="G73" s="11"/>
      <c r="H73" s="11"/>
      <c r="I73" s="13" t="str">
        <f aca="true">IF(AND(F73&lt;&gt;"Payée",G73&lt;&gt;"",G73&lt;TODAY()),TODAY()-G73,"")</f>
        <v/>
      </c>
      <c r="J73" s="10"/>
    </row>
    <row r="74" customFormat="false" ht="15" hidden="false" customHeight="false" outlineLevel="0" collapsed="false">
      <c r="A74" s="10"/>
      <c r="B74" s="11"/>
      <c r="C74" s="10"/>
      <c r="D74" s="10"/>
      <c r="E74" s="12"/>
      <c r="F74" s="10"/>
      <c r="G74" s="11"/>
      <c r="H74" s="11"/>
      <c r="I74" s="13" t="str">
        <f aca="true">IF(AND(F74&lt;&gt;"Payée",G74&lt;&gt;"",G74&lt;TODAY()),TODAY()-G74,"")</f>
        <v/>
      </c>
      <c r="J74" s="10"/>
    </row>
    <row r="75" customFormat="false" ht="15" hidden="false" customHeight="false" outlineLevel="0" collapsed="false">
      <c r="A75" s="10"/>
      <c r="B75" s="11"/>
      <c r="C75" s="10"/>
      <c r="D75" s="10"/>
      <c r="E75" s="12"/>
      <c r="F75" s="10"/>
      <c r="G75" s="11"/>
      <c r="H75" s="11"/>
      <c r="I75" s="13" t="str">
        <f aca="true">IF(AND(F75&lt;&gt;"Payée",G75&lt;&gt;"",G75&lt;TODAY()),TODAY()-G75,"")</f>
        <v/>
      </c>
      <c r="J75" s="10"/>
    </row>
    <row r="76" customFormat="false" ht="15" hidden="false" customHeight="false" outlineLevel="0" collapsed="false">
      <c r="A76" s="10"/>
      <c r="B76" s="11"/>
      <c r="C76" s="10"/>
      <c r="D76" s="10"/>
      <c r="E76" s="12"/>
      <c r="F76" s="10"/>
      <c r="G76" s="11"/>
      <c r="H76" s="11"/>
      <c r="I76" s="13" t="str">
        <f aca="true">IF(AND(F76&lt;&gt;"Payée",G76&lt;&gt;"",G76&lt;TODAY()),TODAY()-G76,"")</f>
        <v/>
      </c>
      <c r="J76" s="10"/>
    </row>
    <row r="77" customFormat="false" ht="15" hidden="false" customHeight="false" outlineLevel="0" collapsed="false">
      <c r="A77" s="10"/>
      <c r="B77" s="11"/>
      <c r="C77" s="10"/>
      <c r="D77" s="10"/>
      <c r="E77" s="12"/>
      <c r="F77" s="10"/>
      <c r="G77" s="11"/>
      <c r="H77" s="11"/>
      <c r="I77" s="13" t="str">
        <f aca="true">IF(AND(F77&lt;&gt;"Payée",G77&lt;&gt;"",G77&lt;TODAY()),TODAY()-G77,"")</f>
        <v/>
      </c>
      <c r="J77" s="10"/>
    </row>
    <row r="78" customFormat="false" ht="15" hidden="false" customHeight="false" outlineLevel="0" collapsed="false">
      <c r="A78" s="10"/>
      <c r="B78" s="11"/>
      <c r="C78" s="10"/>
      <c r="D78" s="10"/>
      <c r="E78" s="12"/>
      <c r="F78" s="10"/>
      <c r="G78" s="11"/>
      <c r="H78" s="11"/>
      <c r="I78" s="13" t="str">
        <f aca="true">IF(AND(F78&lt;&gt;"Payée",G78&lt;&gt;"",G78&lt;TODAY()),TODAY()-G78,"")</f>
        <v/>
      </c>
      <c r="J78" s="10"/>
    </row>
    <row r="79" customFormat="false" ht="15" hidden="false" customHeight="false" outlineLevel="0" collapsed="false">
      <c r="A79" s="10"/>
      <c r="B79" s="11"/>
      <c r="C79" s="10"/>
      <c r="D79" s="10"/>
      <c r="E79" s="12"/>
      <c r="F79" s="10"/>
      <c r="G79" s="11"/>
      <c r="H79" s="11"/>
      <c r="I79" s="13" t="str">
        <f aca="true">IF(AND(F79&lt;&gt;"Payée",G79&lt;&gt;"",G79&lt;TODAY()),TODAY()-G79,"")</f>
        <v/>
      </c>
      <c r="J79" s="10"/>
    </row>
    <row r="80" customFormat="false" ht="15" hidden="false" customHeight="false" outlineLevel="0" collapsed="false">
      <c r="A80" s="10"/>
      <c r="B80" s="11"/>
      <c r="C80" s="10"/>
      <c r="D80" s="10"/>
      <c r="E80" s="12"/>
      <c r="F80" s="10"/>
      <c r="G80" s="11"/>
      <c r="H80" s="11"/>
      <c r="I80" s="13" t="str">
        <f aca="true">IF(AND(F80&lt;&gt;"Payée",G80&lt;&gt;"",G80&lt;TODAY()),TODAY()-G80,"")</f>
        <v/>
      </c>
      <c r="J80" s="10"/>
    </row>
    <row r="81" customFormat="false" ht="15" hidden="false" customHeight="false" outlineLevel="0" collapsed="false">
      <c r="A81" s="10"/>
      <c r="B81" s="11"/>
      <c r="C81" s="10"/>
      <c r="D81" s="10"/>
      <c r="E81" s="12"/>
      <c r="F81" s="10"/>
      <c r="G81" s="11"/>
      <c r="H81" s="11"/>
      <c r="I81" s="13" t="str">
        <f aca="true">IF(AND(F81&lt;&gt;"Payée",G81&lt;&gt;"",G81&lt;TODAY()),TODAY()-G81,"")</f>
        <v/>
      </c>
      <c r="J81" s="10"/>
    </row>
    <row r="82" customFormat="false" ht="15" hidden="false" customHeight="false" outlineLevel="0" collapsed="false">
      <c r="A82" s="10"/>
      <c r="B82" s="11"/>
      <c r="C82" s="10"/>
      <c r="D82" s="10"/>
      <c r="E82" s="12"/>
      <c r="F82" s="10"/>
      <c r="G82" s="11"/>
      <c r="H82" s="11"/>
      <c r="I82" s="13" t="str">
        <f aca="true">IF(AND(F82&lt;&gt;"Payée",G82&lt;&gt;"",G82&lt;TODAY()),TODAY()-G82,"")</f>
        <v/>
      </c>
      <c r="J82" s="10"/>
    </row>
    <row r="83" customFormat="false" ht="15" hidden="false" customHeight="false" outlineLevel="0" collapsed="false">
      <c r="A83" s="10"/>
      <c r="B83" s="11"/>
      <c r="C83" s="10"/>
      <c r="D83" s="10"/>
      <c r="E83" s="12"/>
      <c r="F83" s="10"/>
      <c r="G83" s="11"/>
      <c r="H83" s="11"/>
      <c r="I83" s="13" t="str">
        <f aca="true">IF(AND(F83&lt;&gt;"Payée",G83&lt;&gt;"",G83&lt;TODAY()),TODAY()-G83,"")</f>
        <v/>
      </c>
      <c r="J83" s="10"/>
    </row>
    <row r="84" customFormat="false" ht="15" hidden="false" customHeight="false" outlineLevel="0" collapsed="false">
      <c r="A84" s="10"/>
      <c r="B84" s="11"/>
      <c r="C84" s="10"/>
      <c r="D84" s="10"/>
      <c r="E84" s="12"/>
      <c r="F84" s="10"/>
      <c r="G84" s="11"/>
      <c r="H84" s="11"/>
      <c r="I84" s="13" t="str">
        <f aca="true">IF(AND(F84&lt;&gt;"Payée",G84&lt;&gt;"",G84&lt;TODAY()),TODAY()-G84,"")</f>
        <v/>
      </c>
      <c r="J84" s="10"/>
    </row>
    <row r="85" customFormat="false" ht="15" hidden="false" customHeight="false" outlineLevel="0" collapsed="false">
      <c r="A85" s="10"/>
      <c r="B85" s="11"/>
      <c r="C85" s="10"/>
      <c r="D85" s="10"/>
      <c r="E85" s="12"/>
      <c r="F85" s="10"/>
      <c r="G85" s="11"/>
      <c r="H85" s="11"/>
      <c r="I85" s="13" t="str">
        <f aca="true">IF(AND(F85&lt;&gt;"Payée",G85&lt;&gt;"",G85&lt;TODAY()),TODAY()-G85,"")</f>
        <v/>
      </c>
      <c r="J85" s="10"/>
    </row>
    <row r="86" customFormat="false" ht="15" hidden="false" customHeight="false" outlineLevel="0" collapsed="false">
      <c r="A86" s="10"/>
      <c r="B86" s="11"/>
      <c r="C86" s="10"/>
      <c r="D86" s="10"/>
      <c r="E86" s="12"/>
      <c r="F86" s="10"/>
      <c r="G86" s="11"/>
      <c r="H86" s="11"/>
      <c r="I86" s="13" t="str">
        <f aca="true">IF(AND(F86&lt;&gt;"Payée",G86&lt;&gt;"",G86&lt;TODAY()),TODAY()-G86,"")</f>
        <v/>
      </c>
      <c r="J86" s="10"/>
    </row>
    <row r="87" customFormat="false" ht="15" hidden="false" customHeight="false" outlineLevel="0" collapsed="false">
      <c r="A87" s="10"/>
      <c r="B87" s="11"/>
      <c r="C87" s="10"/>
      <c r="D87" s="10"/>
      <c r="E87" s="12"/>
      <c r="F87" s="10"/>
      <c r="G87" s="11"/>
      <c r="H87" s="11"/>
      <c r="I87" s="13" t="str">
        <f aca="true">IF(AND(F87&lt;&gt;"Payée",G87&lt;&gt;"",G87&lt;TODAY()),TODAY()-G87,"")</f>
        <v/>
      </c>
      <c r="J87" s="10"/>
    </row>
    <row r="88" customFormat="false" ht="15" hidden="false" customHeight="false" outlineLevel="0" collapsed="false">
      <c r="A88" s="10"/>
      <c r="B88" s="11"/>
      <c r="C88" s="10"/>
      <c r="D88" s="10"/>
      <c r="E88" s="12"/>
      <c r="F88" s="10"/>
      <c r="G88" s="11"/>
      <c r="H88" s="11"/>
      <c r="I88" s="13" t="str">
        <f aca="true">IF(AND(F88&lt;&gt;"Payée",G88&lt;&gt;"",G88&lt;TODAY()),TODAY()-G88,"")</f>
        <v/>
      </c>
      <c r="J88" s="10"/>
    </row>
    <row r="89" customFormat="false" ht="15" hidden="false" customHeight="false" outlineLevel="0" collapsed="false">
      <c r="A89" s="10"/>
      <c r="B89" s="11"/>
      <c r="C89" s="10"/>
      <c r="D89" s="10"/>
      <c r="E89" s="12"/>
      <c r="F89" s="10"/>
      <c r="G89" s="11"/>
      <c r="H89" s="11"/>
      <c r="I89" s="13" t="str">
        <f aca="true">IF(AND(F89&lt;&gt;"Payée",G89&lt;&gt;"",G89&lt;TODAY()),TODAY()-G89,"")</f>
        <v/>
      </c>
      <c r="J89" s="10"/>
    </row>
    <row r="90" customFormat="false" ht="15" hidden="false" customHeight="false" outlineLevel="0" collapsed="false">
      <c r="A90" s="10"/>
      <c r="B90" s="11"/>
      <c r="C90" s="10"/>
      <c r="D90" s="10"/>
      <c r="E90" s="12"/>
      <c r="F90" s="10"/>
      <c r="G90" s="11"/>
      <c r="H90" s="11"/>
      <c r="I90" s="13" t="str">
        <f aca="true">IF(AND(F90&lt;&gt;"Payée",G90&lt;&gt;"",G90&lt;TODAY()),TODAY()-G90,"")</f>
        <v/>
      </c>
      <c r="J90" s="10"/>
    </row>
    <row r="91" customFormat="false" ht="15" hidden="false" customHeight="false" outlineLevel="0" collapsed="false">
      <c r="A91" s="10"/>
      <c r="B91" s="11"/>
      <c r="C91" s="10"/>
      <c r="D91" s="10"/>
      <c r="E91" s="12"/>
      <c r="F91" s="10"/>
      <c r="G91" s="11"/>
      <c r="H91" s="11"/>
      <c r="I91" s="13" t="str">
        <f aca="true">IF(AND(F91&lt;&gt;"Payée",G91&lt;&gt;"",G91&lt;TODAY()),TODAY()-G91,"")</f>
        <v/>
      </c>
      <c r="J91" s="10"/>
    </row>
    <row r="92" customFormat="false" ht="15" hidden="false" customHeight="false" outlineLevel="0" collapsed="false">
      <c r="A92" s="10"/>
      <c r="B92" s="11"/>
      <c r="C92" s="10"/>
      <c r="D92" s="10"/>
      <c r="E92" s="12"/>
      <c r="F92" s="10"/>
      <c r="G92" s="11"/>
      <c r="H92" s="11"/>
      <c r="I92" s="13" t="str">
        <f aca="true">IF(AND(F92&lt;&gt;"Payée",G92&lt;&gt;"",G92&lt;TODAY()),TODAY()-G92,"")</f>
        <v/>
      </c>
      <c r="J92" s="10"/>
    </row>
    <row r="93" customFormat="false" ht="15" hidden="false" customHeight="false" outlineLevel="0" collapsed="false">
      <c r="A93" s="10"/>
      <c r="B93" s="11"/>
      <c r="C93" s="10"/>
      <c r="D93" s="10"/>
      <c r="E93" s="12"/>
      <c r="F93" s="10"/>
      <c r="G93" s="11"/>
      <c r="H93" s="11"/>
      <c r="I93" s="13" t="str">
        <f aca="true">IF(AND(F93&lt;&gt;"Payée",G93&lt;&gt;"",G93&lt;TODAY()),TODAY()-G93,"")</f>
        <v/>
      </c>
      <c r="J93" s="10"/>
    </row>
    <row r="94" customFormat="false" ht="15" hidden="false" customHeight="false" outlineLevel="0" collapsed="false">
      <c r="A94" s="10"/>
      <c r="B94" s="11"/>
      <c r="C94" s="10"/>
      <c r="D94" s="10"/>
      <c r="E94" s="12"/>
      <c r="F94" s="10"/>
      <c r="G94" s="11"/>
      <c r="H94" s="11"/>
      <c r="I94" s="13" t="str">
        <f aca="true">IF(AND(F94&lt;&gt;"Payée",G94&lt;&gt;"",G94&lt;TODAY()),TODAY()-G94,"")</f>
        <v/>
      </c>
      <c r="J94" s="10"/>
    </row>
    <row r="95" customFormat="false" ht="15" hidden="false" customHeight="false" outlineLevel="0" collapsed="false">
      <c r="A95" s="10"/>
      <c r="B95" s="11"/>
      <c r="C95" s="10"/>
      <c r="D95" s="10"/>
      <c r="E95" s="12"/>
      <c r="F95" s="10"/>
      <c r="G95" s="11"/>
      <c r="H95" s="11"/>
      <c r="I95" s="13" t="str">
        <f aca="true">IF(AND(F95&lt;&gt;"Payée",G95&lt;&gt;"",G95&lt;TODAY()),TODAY()-G95,"")</f>
        <v/>
      </c>
      <c r="J95" s="10"/>
    </row>
    <row r="96" customFormat="false" ht="15" hidden="false" customHeight="false" outlineLevel="0" collapsed="false">
      <c r="A96" s="10"/>
      <c r="B96" s="11"/>
      <c r="C96" s="10"/>
      <c r="D96" s="10"/>
      <c r="E96" s="12"/>
      <c r="F96" s="10"/>
      <c r="G96" s="11"/>
      <c r="H96" s="11"/>
      <c r="I96" s="13" t="str">
        <f aca="true">IF(AND(F96&lt;&gt;"Payée",G96&lt;&gt;"",G96&lt;TODAY()),TODAY()-G96,"")</f>
        <v/>
      </c>
      <c r="J96" s="10"/>
    </row>
    <row r="97" customFormat="false" ht="15" hidden="false" customHeight="false" outlineLevel="0" collapsed="false">
      <c r="A97" s="10"/>
      <c r="B97" s="11"/>
      <c r="C97" s="10"/>
      <c r="D97" s="10"/>
      <c r="E97" s="12"/>
      <c r="F97" s="10"/>
      <c r="G97" s="11"/>
      <c r="H97" s="11"/>
      <c r="I97" s="13" t="str">
        <f aca="true">IF(AND(F97&lt;&gt;"Payée",G97&lt;&gt;"",G97&lt;TODAY()),TODAY()-G97,"")</f>
        <v/>
      </c>
      <c r="J97" s="10"/>
    </row>
    <row r="98" customFormat="false" ht="15" hidden="false" customHeight="false" outlineLevel="0" collapsed="false">
      <c r="A98" s="10"/>
      <c r="B98" s="11"/>
      <c r="C98" s="10"/>
      <c r="D98" s="10"/>
      <c r="E98" s="12"/>
      <c r="F98" s="10"/>
      <c r="G98" s="11"/>
      <c r="H98" s="11"/>
      <c r="I98" s="13" t="str">
        <f aca="true">IF(AND(F98&lt;&gt;"Payée",G98&lt;&gt;"",G98&lt;TODAY()),TODAY()-G98,"")</f>
        <v/>
      </c>
      <c r="J98" s="10"/>
    </row>
    <row r="99" customFormat="false" ht="15" hidden="false" customHeight="false" outlineLevel="0" collapsed="false">
      <c r="A99" s="10"/>
      <c r="B99" s="11"/>
      <c r="C99" s="10"/>
      <c r="D99" s="10"/>
      <c r="E99" s="12"/>
      <c r="F99" s="10"/>
      <c r="G99" s="11"/>
      <c r="H99" s="11"/>
      <c r="I99" s="13" t="str">
        <f aca="true">IF(AND(F99&lt;&gt;"Payée",G99&lt;&gt;"",G99&lt;TODAY()),TODAY()-G99,"")</f>
        <v/>
      </c>
      <c r="J99" s="10"/>
    </row>
    <row r="100" customFormat="false" ht="15" hidden="false" customHeight="false" outlineLevel="0" collapsed="false">
      <c r="A100" s="10"/>
      <c r="B100" s="11"/>
      <c r="C100" s="10"/>
      <c r="D100" s="10"/>
      <c r="E100" s="12"/>
      <c r="F100" s="10"/>
      <c r="G100" s="11"/>
      <c r="H100" s="11"/>
      <c r="I100" s="13" t="str">
        <f aca="true">IF(AND(F100&lt;&gt;"Payée",G100&lt;&gt;"",G100&lt;TODAY()),TODAY()-G100,"")</f>
        <v/>
      </c>
      <c r="J100" s="10"/>
    </row>
    <row r="101" customFormat="false" ht="15" hidden="false" customHeight="false" outlineLevel="0" collapsed="false">
      <c r="A101" s="10"/>
      <c r="B101" s="11"/>
      <c r="C101" s="10"/>
      <c r="D101" s="10"/>
      <c r="E101" s="12"/>
      <c r="F101" s="10"/>
      <c r="G101" s="11"/>
      <c r="H101" s="11"/>
      <c r="I101" s="13" t="str">
        <f aca="true">IF(AND(F101&lt;&gt;"Payée",G101&lt;&gt;"",G101&lt;TODAY()),TODAY()-G101,"")</f>
        <v/>
      </c>
      <c r="J101" s="10"/>
    </row>
    <row r="102" customFormat="false" ht="15" hidden="false" customHeight="false" outlineLevel="0" collapsed="false">
      <c r="A102" s="10"/>
      <c r="B102" s="11"/>
      <c r="C102" s="10"/>
      <c r="D102" s="10"/>
      <c r="E102" s="12"/>
      <c r="F102" s="10"/>
      <c r="G102" s="11"/>
      <c r="H102" s="11"/>
      <c r="I102" s="13" t="str">
        <f aca="true">IF(AND(F102&lt;&gt;"Payée",G102&lt;&gt;"",G102&lt;TODAY()),TODAY()-G102,"")</f>
        <v/>
      </c>
      <c r="J102" s="10"/>
    </row>
    <row r="103" customFormat="false" ht="15" hidden="false" customHeight="false" outlineLevel="0" collapsed="false">
      <c r="A103" s="10"/>
      <c r="B103" s="11"/>
      <c r="C103" s="10"/>
      <c r="D103" s="10"/>
      <c r="E103" s="12"/>
      <c r="F103" s="10"/>
      <c r="G103" s="11"/>
      <c r="H103" s="11"/>
      <c r="I103" s="13" t="str">
        <f aca="true">IF(AND(F103&lt;&gt;"Payée",G103&lt;&gt;"",G103&lt;TODAY()),TODAY()-G103,"")</f>
        <v/>
      </c>
      <c r="J103" s="10"/>
    </row>
    <row r="104" customFormat="false" ht="15" hidden="false" customHeight="false" outlineLevel="0" collapsed="false">
      <c r="A104" s="10"/>
      <c r="B104" s="11"/>
      <c r="C104" s="10"/>
      <c r="D104" s="10"/>
      <c r="E104" s="12"/>
      <c r="F104" s="10"/>
      <c r="G104" s="11"/>
      <c r="H104" s="11"/>
      <c r="I104" s="13" t="str">
        <f aca="true">IF(AND(F104&lt;&gt;"Payée",G104&lt;&gt;"",G104&lt;TODAY()),TODAY()-G104,"")</f>
        <v/>
      </c>
      <c r="J104" s="10"/>
    </row>
    <row r="105" customFormat="false" ht="15" hidden="false" customHeight="false" outlineLevel="0" collapsed="false">
      <c r="A105" s="10"/>
      <c r="B105" s="11"/>
      <c r="C105" s="10"/>
      <c r="D105" s="10"/>
      <c r="E105" s="12"/>
      <c r="F105" s="10"/>
      <c r="G105" s="11"/>
      <c r="H105" s="11"/>
      <c r="I105" s="13" t="str">
        <f aca="true">IF(AND(F105&lt;&gt;"Payée",G105&lt;&gt;"",G105&lt;TODAY()),TODAY()-G105,"")</f>
        <v/>
      </c>
      <c r="J105" s="10"/>
    </row>
    <row r="106" customFormat="false" ht="15" hidden="false" customHeight="false" outlineLevel="0" collapsed="false">
      <c r="A106" s="10"/>
      <c r="B106" s="11"/>
      <c r="C106" s="10"/>
      <c r="D106" s="10"/>
      <c r="E106" s="12"/>
      <c r="F106" s="10"/>
      <c r="G106" s="11"/>
      <c r="H106" s="11"/>
      <c r="I106" s="13" t="str">
        <f aca="true">IF(AND(F106&lt;&gt;"Payée",G106&lt;&gt;"",G106&lt;TODAY()),TODAY()-G106,"")</f>
        <v/>
      </c>
      <c r="J106" s="10"/>
    </row>
    <row r="107" customFormat="false" ht="15" hidden="false" customHeight="false" outlineLevel="0" collapsed="false">
      <c r="A107" s="10"/>
      <c r="B107" s="11"/>
      <c r="C107" s="10"/>
      <c r="D107" s="10"/>
      <c r="E107" s="12"/>
      <c r="F107" s="10"/>
      <c r="G107" s="11"/>
      <c r="H107" s="11"/>
      <c r="I107" s="13" t="str">
        <f aca="true">IF(AND(F107&lt;&gt;"Payée",G107&lt;&gt;"",G107&lt;TODAY()),TODAY()-G107,"")</f>
        <v/>
      </c>
      <c r="J107" s="10"/>
    </row>
    <row r="108" customFormat="false" ht="15" hidden="false" customHeight="false" outlineLevel="0" collapsed="false">
      <c r="A108" s="10"/>
      <c r="B108" s="11"/>
      <c r="C108" s="10"/>
      <c r="D108" s="10"/>
      <c r="E108" s="12"/>
      <c r="F108" s="10"/>
      <c r="G108" s="11"/>
      <c r="H108" s="11"/>
      <c r="I108" s="13" t="str">
        <f aca="true">IF(AND(F108&lt;&gt;"Payée",G108&lt;&gt;"",G108&lt;TODAY()),TODAY()-G108,"")</f>
        <v/>
      </c>
      <c r="J108" s="10"/>
    </row>
    <row r="109" customFormat="false" ht="15" hidden="false" customHeight="false" outlineLevel="0" collapsed="false">
      <c r="A109" s="10"/>
      <c r="B109" s="11"/>
      <c r="C109" s="10"/>
      <c r="D109" s="10"/>
      <c r="E109" s="12"/>
      <c r="F109" s="10"/>
      <c r="G109" s="11"/>
      <c r="H109" s="11"/>
      <c r="I109" s="13" t="str">
        <f aca="true">IF(AND(F109&lt;&gt;"Payée",G109&lt;&gt;"",G109&lt;TODAY()),TODAY()-G109,"")</f>
        <v/>
      </c>
      <c r="J109" s="10"/>
    </row>
    <row r="110" customFormat="false" ht="15" hidden="false" customHeight="false" outlineLevel="0" collapsed="false">
      <c r="A110" s="10"/>
      <c r="B110" s="11"/>
      <c r="C110" s="10"/>
      <c r="D110" s="10"/>
      <c r="E110" s="12"/>
      <c r="F110" s="10"/>
      <c r="G110" s="11"/>
      <c r="H110" s="11"/>
      <c r="I110" s="13" t="str">
        <f aca="true">IF(AND(F110&lt;&gt;"Payée",G110&lt;&gt;"",G110&lt;TODAY()),TODAY()-G110,"")</f>
        <v/>
      </c>
      <c r="J110" s="10"/>
    </row>
    <row r="111" customFormat="false" ht="15" hidden="false" customHeight="false" outlineLevel="0" collapsed="false">
      <c r="A111" s="10"/>
      <c r="B111" s="11"/>
      <c r="C111" s="10"/>
      <c r="D111" s="10"/>
      <c r="E111" s="12"/>
      <c r="F111" s="10"/>
      <c r="G111" s="11"/>
      <c r="H111" s="11"/>
      <c r="I111" s="13" t="str">
        <f aca="true">IF(AND(F111&lt;&gt;"Payée",G111&lt;&gt;"",G111&lt;TODAY()),TODAY()-G111,"")</f>
        <v/>
      </c>
      <c r="J111" s="10"/>
    </row>
    <row r="112" customFormat="false" ht="15" hidden="false" customHeight="false" outlineLevel="0" collapsed="false">
      <c r="A112" s="10"/>
      <c r="B112" s="11"/>
      <c r="C112" s="10"/>
      <c r="D112" s="10"/>
      <c r="E112" s="12"/>
      <c r="F112" s="10"/>
      <c r="G112" s="11"/>
      <c r="H112" s="11"/>
      <c r="I112" s="13" t="str">
        <f aca="true">IF(AND(F112&lt;&gt;"Payée",G112&lt;&gt;"",G112&lt;TODAY()),TODAY()-G112,"")</f>
        <v/>
      </c>
      <c r="J112" s="10"/>
    </row>
    <row r="113" customFormat="false" ht="15" hidden="false" customHeight="false" outlineLevel="0" collapsed="false">
      <c r="A113" s="10"/>
      <c r="B113" s="11"/>
      <c r="C113" s="10"/>
      <c r="D113" s="10"/>
      <c r="E113" s="12"/>
      <c r="F113" s="10"/>
      <c r="G113" s="11"/>
      <c r="H113" s="11"/>
      <c r="I113" s="13" t="str">
        <f aca="true">IF(AND(F113&lt;&gt;"Payée",G113&lt;&gt;"",G113&lt;TODAY()),TODAY()-G113,"")</f>
        <v/>
      </c>
      <c r="J113" s="10"/>
    </row>
    <row r="114" customFormat="false" ht="15" hidden="false" customHeight="false" outlineLevel="0" collapsed="false">
      <c r="A114" s="10"/>
      <c r="B114" s="11"/>
      <c r="C114" s="10"/>
      <c r="D114" s="10"/>
      <c r="E114" s="12"/>
      <c r="F114" s="10"/>
      <c r="G114" s="11"/>
      <c r="H114" s="11"/>
      <c r="I114" s="13" t="str">
        <f aca="true">IF(AND(F114&lt;&gt;"Payée",G114&lt;&gt;"",G114&lt;TODAY()),TODAY()-G114,"")</f>
        <v/>
      </c>
      <c r="J114" s="10"/>
    </row>
    <row r="115" customFormat="false" ht="15" hidden="false" customHeight="false" outlineLevel="0" collapsed="false">
      <c r="A115" s="10"/>
      <c r="B115" s="11"/>
      <c r="C115" s="10"/>
      <c r="D115" s="10"/>
      <c r="E115" s="12"/>
      <c r="F115" s="10"/>
      <c r="G115" s="11"/>
      <c r="H115" s="11"/>
      <c r="I115" s="13" t="str">
        <f aca="true">IF(AND(F115&lt;&gt;"Payée",G115&lt;&gt;"",G115&lt;TODAY()),TODAY()-G115,"")</f>
        <v/>
      </c>
      <c r="J115" s="10"/>
    </row>
    <row r="116" customFormat="false" ht="15" hidden="false" customHeight="false" outlineLevel="0" collapsed="false">
      <c r="A116" s="10"/>
      <c r="B116" s="11"/>
      <c r="C116" s="10"/>
      <c r="D116" s="10"/>
      <c r="E116" s="12"/>
      <c r="F116" s="10"/>
      <c r="G116" s="11"/>
      <c r="H116" s="11"/>
      <c r="I116" s="13" t="str">
        <f aca="true">IF(AND(F116&lt;&gt;"Payée",G116&lt;&gt;"",G116&lt;TODAY()),TODAY()-G116,"")</f>
        <v/>
      </c>
      <c r="J116" s="10"/>
    </row>
    <row r="117" customFormat="false" ht="15" hidden="false" customHeight="false" outlineLevel="0" collapsed="false">
      <c r="A117" s="10"/>
      <c r="B117" s="11"/>
      <c r="C117" s="10"/>
      <c r="D117" s="10"/>
      <c r="E117" s="12"/>
      <c r="F117" s="10"/>
      <c r="G117" s="11"/>
      <c r="H117" s="11"/>
      <c r="I117" s="13" t="str">
        <f aca="true">IF(AND(F117&lt;&gt;"Payée",G117&lt;&gt;"",G117&lt;TODAY()),TODAY()-G117,"")</f>
        <v/>
      </c>
      <c r="J117" s="10"/>
    </row>
    <row r="118" customFormat="false" ht="15" hidden="false" customHeight="false" outlineLevel="0" collapsed="false">
      <c r="A118" s="10"/>
      <c r="B118" s="11"/>
      <c r="C118" s="10"/>
      <c r="D118" s="10"/>
      <c r="E118" s="12"/>
      <c r="F118" s="10"/>
      <c r="G118" s="11"/>
      <c r="H118" s="11"/>
      <c r="I118" s="13" t="str">
        <f aca="true">IF(AND(F118&lt;&gt;"Payée",G118&lt;&gt;"",G118&lt;TODAY()),TODAY()-G118,"")</f>
        <v/>
      </c>
      <c r="J118" s="10"/>
    </row>
    <row r="119" customFormat="false" ht="15" hidden="false" customHeight="false" outlineLevel="0" collapsed="false">
      <c r="A119" s="10"/>
      <c r="B119" s="11"/>
      <c r="C119" s="10"/>
      <c r="D119" s="10"/>
      <c r="E119" s="12"/>
      <c r="F119" s="10"/>
      <c r="G119" s="11"/>
      <c r="H119" s="11"/>
      <c r="I119" s="13" t="str">
        <f aca="true">IF(AND(F119&lt;&gt;"Payée",G119&lt;&gt;"",G119&lt;TODAY()),TODAY()-G119,"")</f>
        <v/>
      </c>
      <c r="J119" s="10"/>
    </row>
    <row r="120" customFormat="false" ht="15" hidden="false" customHeight="false" outlineLevel="0" collapsed="false">
      <c r="A120" s="10"/>
      <c r="B120" s="11"/>
      <c r="C120" s="10"/>
      <c r="D120" s="10"/>
      <c r="E120" s="12"/>
      <c r="F120" s="10"/>
      <c r="G120" s="11"/>
      <c r="H120" s="11"/>
      <c r="I120" s="13" t="str">
        <f aca="true">IF(AND(F120&lt;&gt;"Payée",G120&lt;&gt;"",G120&lt;TODAY()),TODAY()-G120,"")</f>
        <v/>
      </c>
      <c r="J120" s="10"/>
    </row>
    <row r="121" customFormat="false" ht="15" hidden="false" customHeight="false" outlineLevel="0" collapsed="false">
      <c r="A121" s="10"/>
      <c r="B121" s="11"/>
      <c r="C121" s="10"/>
      <c r="D121" s="10"/>
      <c r="E121" s="12"/>
      <c r="F121" s="10"/>
      <c r="G121" s="11"/>
      <c r="H121" s="11"/>
      <c r="I121" s="13" t="str">
        <f aca="true">IF(AND(F121&lt;&gt;"Payée",G121&lt;&gt;"",G121&lt;TODAY()),TODAY()-G121,"")</f>
        <v/>
      </c>
      <c r="J121" s="10"/>
    </row>
    <row r="122" customFormat="false" ht="15" hidden="false" customHeight="false" outlineLevel="0" collapsed="false">
      <c r="A122" s="10"/>
      <c r="B122" s="11"/>
      <c r="C122" s="10"/>
      <c r="D122" s="10"/>
      <c r="E122" s="12"/>
      <c r="F122" s="10"/>
      <c r="G122" s="11"/>
      <c r="H122" s="11"/>
      <c r="I122" s="13" t="str">
        <f aca="true">IF(AND(F122&lt;&gt;"Payée",G122&lt;&gt;"",G122&lt;TODAY()),TODAY()-G122,"")</f>
        <v/>
      </c>
      <c r="J122" s="10"/>
    </row>
    <row r="123" customFormat="false" ht="15" hidden="false" customHeight="false" outlineLevel="0" collapsed="false">
      <c r="A123" s="10"/>
      <c r="B123" s="11"/>
      <c r="C123" s="10"/>
      <c r="D123" s="10"/>
      <c r="E123" s="12"/>
      <c r="F123" s="10"/>
      <c r="G123" s="11"/>
      <c r="H123" s="11"/>
      <c r="I123" s="13" t="str">
        <f aca="true">IF(AND(F123&lt;&gt;"Payée",G123&lt;&gt;"",G123&lt;TODAY()),TODAY()-G123,"")</f>
        <v/>
      </c>
      <c r="J123" s="10"/>
    </row>
    <row r="124" customFormat="false" ht="15" hidden="false" customHeight="false" outlineLevel="0" collapsed="false">
      <c r="A124" s="10"/>
      <c r="B124" s="11"/>
      <c r="C124" s="10"/>
      <c r="D124" s="10"/>
      <c r="E124" s="12"/>
      <c r="F124" s="10"/>
      <c r="G124" s="11"/>
      <c r="H124" s="11"/>
      <c r="I124" s="13" t="str">
        <f aca="true">IF(AND(F124&lt;&gt;"Payée",G124&lt;&gt;"",G124&lt;TODAY()),TODAY()-G124,"")</f>
        <v/>
      </c>
      <c r="J124" s="10"/>
    </row>
    <row r="125" customFormat="false" ht="15" hidden="false" customHeight="false" outlineLevel="0" collapsed="false">
      <c r="A125" s="10"/>
      <c r="B125" s="11"/>
      <c r="C125" s="10"/>
      <c r="D125" s="10"/>
      <c r="E125" s="12"/>
      <c r="F125" s="10"/>
      <c r="G125" s="11"/>
      <c r="H125" s="11"/>
      <c r="I125" s="13" t="str">
        <f aca="true">IF(AND(F125&lt;&gt;"Payée",G125&lt;&gt;"",G125&lt;TODAY()),TODAY()-G125,"")</f>
        <v/>
      </c>
      <c r="J125" s="10"/>
    </row>
    <row r="126" customFormat="false" ht="15" hidden="false" customHeight="false" outlineLevel="0" collapsed="false">
      <c r="A126" s="10"/>
      <c r="B126" s="11"/>
      <c r="C126" s="10"/>
      <c r="D126" s="10"/>
      <c r="E126" s="12"/>
      <c r="F126" s="10"/>
      <c r="G126" s="11"/>
      <c r="H126" s="11"/>
      <c r="I126" s="13" t="str">
        <f aca="true">IF(AND(F126&lt;&gt;"Payée",G126&lt;&gt;"",G126&lt;TODAY()),TODAY()-G126,"")</f>
        <v/>
      </c>
      <c r="J126" s="10"/>
    </row>
    <row r="127" customFormat="false" ht="15" hidden="false" customHeight="false" outlineLevel="0" collapsed="false">
      <c r="A127" s="10"/>
      <c r="B127" s="11"/>
      <c r="C127" s="10"/>
      <c r="D127" s="10"/>
      <c r="E127" s="12"/>
      <c r="F127" s="10"/>
      <c r="G127" s="11"/>
      <c r="H127" s="11"/>
      <c r="I127" s="13" t="str">
        <f aca="true">IF(AND(F127&lt;&gt;"Payée",G127&lt;&gt;"",G127&lt;TODAY()),TODAY()-G127,"")</f>
        <v/>
      </c>
      <c r="J127" s="10"/>
    </row>
    <row r="128" customFormat="false" ht="15" hidden="false" customHeight="false" outlineLevel="0" collapsed="false">
      <c r="A128" s="10"/>
      <c r="B128" s="11"/>
      <c r="C128" s="10"/>
      <c r="D128" s="10"/>
      <c r="E128" s="12"/>
      <c r="F128" s="10"/>
      <c r="G128" s="11"/>
      <c r="H128" s="11"/>
      <c r="I128" s="13" t="str">
        <f aca="true">IF(AND(F128&lt;&gt;"Payée",G128&lt;&gt;"",G128&lt;TODAY()),TODAY()-G128,"")</f>
        <v/>
      </c>
      <c r="J128" s="10"/>
    </row>
    <row r="129" customFormat="false" ht="15" hidden="false" customHeight="false" outlineLevel="0" collapsed="false">
      <c r="A129" s="10"/>
      <c r="B129" s="11"/>
      <c r="C129" s="10"/>
      <c r="D129" s="10"/>
      <c r="E129" s="12"/>
      <c r="F129" s="10"/>
      <c r="G129" s="11"/>
      <c r="H129" s="11"/>
      <c r="I129" s="13" t="str">
        <f aca="true">IF(AND(F129&lt;&gt;"Payée",G129&lt;&gt;"",G129&lt;TODAY()),TODAY()-G129,"")</f>
        <v/>
      </c>
      <c r="J129" s="10"/>
    </row>
    <row r="130" customFormat="false" ht="15" hidden="false" customHeight="false" outlineLevel="0" collapsed="false">
      <c r="A130" s="10"/>
      <c r="B130" s="11"/>
      <c r="C130" s="10"/>
      <c r="D130" s="10"/>
      <c r="E130" s="12"/>
      <c r="F130" s="10"/>
      <c r="G130" s="11"/>
      <c r="H130" s="11"/>
      <c r="I130" s="13" t="str">
        <f aca="true">IF(AND(F130&lt;&gt;"Payée",G130&lt;&gt;"",G130&lt;TODAY()),TODAY()-G130,"")</f>
        <v/>
      </c>
      <c r="J130" s="10"/>
    </row>
    <row r="131" customFormat="false" ht="15" hidden="false" customHeight="false" outlineLevel="0" collapsed="false">
      <c r="A131" s="10"/>
      <c r="B131" s="11"/>
      <c r="C131" s="10"/>
      <c r="D131" s="10"/>
      <c r="E131" s="12"/>
      <c r="F131" s="10"/>
      <c r="G131" s="11"/>
      <c r="H131" s="11"/>
      <c r="I131" s="13" t="str">
        <f aca="true">IF(AND(F131&lt;&gt;"Payée",G131&lt;&gt;"",G131&lt;TODAY()),TODAY()-G131,"")</f>
        <v/>
      </c>
      <c r="J131" s="10"/>
    </row>
    <row r="132" customFormat="false" ht="15" hidden="false" customHeight="false" outlineLevel="0" collapsed="false">
      <c r="A132" s="10"/>
      <c r="B132" s="11"/>
      <c r="C132" s="10"/>
      <c r="D132" s="10"/>
      <c r="E132" s="12"/>
      <c r="F132" s="10"/>
      <c r="G132" s="11"/>
      <c r="H132" s="11"/>
      <c r="I132" s="13" t="str">
        <f aca="true">IF(AND(F132&lt;&gt;"Payée",G132&lt;&gt;"",G132&lt;TODAY()),TODAY()-G132,"")</f>
        <v/>
      </c>
      <c r="J132" s="10"/>
    </row>
    <row r="133" customFormat="false" ht="15" hidden="false" customHeight="false" outlineLevel="0" collapsed="false">
      <c r="A133" s="10"/>
      <c r="B133" s="11"/>
      <c r="C133" s="10"/>
      <c r="D133" s="10"/>
      <c r="E133" s="12"/>
      <c r="F133" s="10"/>
      <c r="G133" s="11"/>
      <c r="H133" s="11"/>
      <c r="I133" s="13" t="str">
        <f aca="true">IF(AND(F133&lt;&gt;"Payée",G133&lt;&gt;"",G133&lt;TODAY()),TODAY()-G133,"")</f>
        <v/>
      </c>
      <c r="J133" s="10"/>
    </row>
    <row r="134" customFormat="false" ht="15" hidden="false" customHeight="false" outlineLevel="0" collapsed="false">
      <c r="A134" s="10"/>
      <c r="B134" s="11"/>
      <c r="C134" s="10"/>
      <c r="D134" s="10"/>
      <c r="E134" s="12"/>
      <c r="F134" s="10"/>
      <c r="G134" s="11"/>
      <c r="H134" s="11"/>
      <c r="I134" s="13" t="str">
        <f aca="true">IF(AND(F134&lt;&gt;"Payée",G134&lt;&gt;"",G134&lt;TODAY()),TODAY()-G134,"")</f>
        <v/>
      </c>
      <c r="J134" s="10"/>
    </row>
    <row r="135" customFormat="false" ht="15" hidden="false" customHeight="false" outlineLevel="0" collapsed="false">
      <c r="A135" s="10"/>
      <c r="B135" s="11"/>
      <c r="C135" s="10"/>
      <c r="D135" s="10"/>
      <c r="E135" s="12"/>
      <c r="F135" s="10"/>
      <c r="G135" s="11"/>
      <c r="H135" s="11"/>
      <c r="I135" s="13" t="str">
        <f aca="true">IF(AND(F135&lt;&gt;"Payée",G135&lt;&gt;"",G135&lt;TODAY()),TODAY()-G135,"")</f>
        <v/>
      </c>
      <c r="J135" s="10"/>
    </row>
    <row r="136" customFormat="false" ht="15" hidden="false" customHeight="false" outlineLevel="0" collapsed="false">
      <c r="A136" s="10"/>
      <c r="B136" s="11"/>
      <c r="C136" s="10"/>
      <c r="D136" s="10"/>
      <c r="E136" s="12"/>
      <c r="F136" s="10"/>
      <c r="G136" s="11"/>
      <c r="H136" s="11"/>
      <c r="I136" s="13" t="str">
        <f aca="true">IF(AND(F136&lt;&gt;"Payée",G136&lt;&gt;"",G136&lt;TODAY()),TODAY()-G136,"")</f>
        <v/>
      </c>
      <c r="J136" s="10"/>
    </row>
    <row r="137" customFormat="false" ht="15" hidden="false" customHeight="false" outlineLevel="0" collapsed="false">
      <c r="A137" s="10"/>
      <c r="B137" s="11"/>
      <c r="C137" s="10"/>
      <c r="D137" s="10"/>
      <c r="E137" s="12"/>
      <c r="F137" s="10"/>
      <c r="G137" s="11"/>
      <c r="H137" s="11"/>
      <c r="I137" s="13" t="str">
        <f aca="true">IF(AND(F137&lt;&gt;"Payée",G137&lt;&gt;"",G137&lt;TODAY()),TODAY()-G137,"")</f>
        <v/>
      </c>
      <c r="J137" s="10"/>
    </row>
    <row r="138" customFormat="false" ht="15" hidden="false" customHeight="false" outlineLevel="0" collapsed="false">
      <c r="A138" s="10"/>
      <c r="B138" s="11"/>
      <c r="C138" s="10"/>
      <c r="D138" s="10"/>
      <c r="E138" s="12"/>
      <c r="F138" s="10"/>
      <c r="G138" s="11"/>
      <c r="H138" s="11"/>
      <c r="I138" s="13" t="str">
        <f aca="true">IF(AND(F138&lt;&gt;"Payée",G138&lt;&gt;"",G138&lt;TODAY()),TODAY()-G138,"")</f>
        <v/>
      </c>
      <c r="J138" s="10"/>
    </row>
    <row r="139" customFormat="false" ht="15" hidden="false" customHeight="false" outlineLevel="0" collapsed="false">
      <c r="A139" s="10"/>
      <c r="B139" s="11"/>
      <c r="C139" s="10"/>
      <c r="D139" s="10"/>
      <c r="E139" s="12"/>
      <c r="F139" s="10"/>
      <c r="G139" s="11"/>
      <c r="H139" s="11"/>
      <c r="I139" s="13" t="str">
        <f aca="true">IF(AND(F139&lt;&gt;"Payée",G139&lt;&gt;"",G139&lt;TODAY()),TODAY()-G139,"")</f>
        <v/>
      </c>
      <c r="J139" s="10"/>
    </row>
    <row r="140" customFormat="false" ht="15" hidden="false" customHeight="false" outlineLevel="0" collapsed="false">
      <c r="A140" s="10"/>
      <c r="B140" s="11"/>
      <c r="C140" s="10"/>
      <c r="D140" s="10"/>
      <c r="E140" s="12"/>
      <c r="F140" s="10"/>
      <c r="G140" s="11"/>
      <c r="H140" s="11"/>
      <c r="I140" s="13" t="str">
        <f aca="true">IF(AND(F140&lt;&gt;"Payée",G140&lt;&gt;"",G140&lt;TODAY()),TODAY()-G140,"")</f>
        <v/>
      </c>
      <c r="J140" s="10"/>
    </row>
    <row r="141" customFormat="false" ht="15" hidden="false" customHeight="false" outlineLevel="0" collapsed="false">
      <c r="A141" s="10"/>
      <c r="B141" s="11"/>
      <c r="C141" s="10"/>
      <c r="D141" s="10"/>
      <c r="E141" s="12"/>
      <c r="F141" s="10"/>
      <c r="G141" s="11"/>
      <c r="H141" s="11"/>
      <c r="I141" s="13" t="str">
        <f aca="true">IF(AND(F141&lt;&gt;"Payée",G141&lt;&gt;"",G141&lt;TODAY()),TODAY()-G141,"")</f>
        <v/>
      </c>
      <c r="J141" s="10"/>
    </row>
    <row r="142" customFormat="false" ht="15" hidden="false" customHeight="false" outlineLevel="0" collapsed="false">
      <c r="A142" s="10"/>
      <c r="B142" s="11"/>
      <c r="C142" s="10"/>
      <c r="D142" s="10"/>
      <c r="E142" s="12"/>
      <c r="F142" s="10"/>
      <c r="G142" s="11"/>
      <c r="H142" s="11"/>
      <c r="I142" s="13" t="str">
        <f aca="true">IF(AND(F142&lt;&gt;"Payée",G142&lt;&gt;"",G142&lt;TODAY()),TODAY()-G142,"")</f>
        <v/>
      </c>
      <c r="J142" s="10"/>
    </row>
    <row r="143" customFormat="false" ht="15" hidden="false" customHeight="false" outlineLevel="0" collapsed="false">
      <c r="A143" s="10"/>
      <c r="B143" s="11"/>
      <c r="C143" s="10"/>
      <c r="D143" s="10"/>
      <c r="E143" s="12"/>
      <c r="F143" s="10"/>
      <c r="G143" s="11"/>
      <c r="H143" s="11"/>
      <c r="I143" s="13" t="str">
        <f aca="true">IF(AND(F143&lt;&gt;"Payée",G143&lt;&gt;"",G143&lt;TODAY()),TODAY()-G143,"")</f>
        <v/>
      </c>
      <c r="J143" s="10"/>
    </row>
    <row r="144" customFormat="false" ht="15" hidden="false" customHeight="false" outlineLevel="0" collapsed="false">
      <c r="A144" s="10"/>
      <c r="B144" s="11"/>
      <c r="C144" s="10"/>
      <c r="D144" s="10"/>
      <c r="E144" s="12"/>
      <c r="F144" s="10"/>
      <c r="G144" s="11"/>
      <c r="H144" s="11"/>
      <c r="I144" s="13" t="str">
        <f aca="true">IF(AND(F144&lt;&gt;"Payée",G144&lt;&gt;"",G144&lt;TODAY()),TODAY()-G144,"")</f>
        <v/>
      </c>
      <c r="J144" s="10"/>
    </row>
    <row r="145" customFormat="false" ht="15" hidden="false" customHeight="false" outlineLevel="0" collapsed="false">
      <c r="A145" s="10"/>
      <c r="B145" s="11"/>
      <c r="C145" s="10"/>
      <c r="D145" s="10"/>
      <c r="E145" s="12"/>
      <c r="F145" s="10"/>
      <c r="G145" s="11"/>
      <c r="H145" s="11"/>
      <c r="I145" s="13" t="str">
        <f aca="true">IF(AND(F145&lt;&gt;"Payée",G145&lt;&gt;"",G145&lt;TODAY()),TODAY()-G145,"")</f>
        <v/>
      </c>
      <c r="J145" s="10"/>
    </row>
    <row r="146" customFormat="false" ht="15" hidden="false" customHeight="false" outlineLevel="0" collapsed="false">
      <c r="A146" s="10"/>
      <c r="B146" s="11"/>
      <c r="C146" s="10"/>
      <c r="D146" s="10"/>
      <c r="E146" s="12"/>
      <c r="F146" s="10"/>
      <c r="G146" s="11"/>
      <c r="H146" s="11"/>
      <c r="I146" s="13" t="str">
        <f aca="true">IF(AND(F146&lt;&gt;"Payée",G146&lt;&gt;"",G146&lt;TODAY()),TODAY()-G146,"")</f>
        <v/>
      </c>
      <c r="J146" s="10"/>
    </row>
    <row r="147" customFormat="false" ht="15" hidden="false" customHeight="false" outlineLevel="0" collapsed="false">
      <c r="A147" s="10"/>
      <c r="B147" s="11"/>
      <c r="C147" s="10"/>
      <c r="D147" s="10"/>
      <c r="E147" s="12"/>
      <c r="F147" s="10"/>
      <c r="G147" s="11"/>
      <c r="H147" s="11"/>
      <c r="I147" s="13" t="str">
        <f aca="true">IF(AND(F147&lt;&gt;"Payée",G147&lt;&gt;"",G147&lt;TODAY()),TODAY()-G147,"")</f>
        <v/>
      </c>
      <c r="J147" s="10"/>
    </row>
    <row r="148" customFormat="false" ht="15" hidden="false" customHeight="false" outlineLevel="0" collapsed="false">
      <c r="A148" s="10"/>
      <c r="B148" s="11"/>
      <c r="C148" s="10"/>
      <c r="D148" s="10"/>
      <c r="E148" s="12"/>
      <c r="F148" s="10"/>
      <c r="G148" s="11"/>
      <c r="H148" s="11"/>
      <c r="I148" s="13" t="str">
        <f aca="true">IF(AND(F148&lt;&gt;"Payée",G148&lt;&gt;"",G148&lt;TODAY()),TODAY()-G148,"")</f>
        <v/>
      </c>
      <c r="J148" s="10"/>
    </row>
    <row r="149" customFormat="false" ht="15" hidden="false" customHeight="false" outlineLevel="0" collapsed="false">
      <c r="A149" s="10"/>
      <c r="B149" s="11"/>
      <c r="C149" s="10"/>
      <c r="D149" s="10"/>
      <c r="E149" s="12"/>
      <c r="F149" s="10"/>
      <c r="G149" s="11"/>
      <c r="H149" s="11"/>
      <c r="I149" s="13" t="str">
        <f aca="true">IF(AND(F149&lt;&gt;"Payée",G149&lt;&gt;"",G149&lt;TODAY()),TODAY()-G149,"")</f>
        <v/>
      </c>
      <c r="J149" s="10"/>
    </row>
    <row r="150" customFormat="false" ht="15" hidden="false" customHeight="false" outlineLevel="0" collapsed="false">
      <c r="A150" s="10"/>
      <c r="B150" s="11"/>
      <c r="C150" s="10"/>
      <c r="D150" s="10"/>
      <c r="E150" s="12"/>
      <c r="F150" s="10"/>
      <c r="G150" s="11"/>
      <c r="H150" s="11"/>
      <c r="I150" s="13" t="str">
        <f aca="true">IF(AND(F150&lt;&gt;"Payée",G150&lt;&gt;"",G150&lt;TODAY()),TODAY()-G150,"")</f>
        <v/>
      </c>
      <c r="J150" s="10"/>
    </row>
    <row r="151" customFormat="false" ht="15" hidden="false" customHeight="false" outlineLevel="0" collapsed="false">
      <c r="A151" s="10"/>
      <c r="B151" s="11"/>
      <c r="C151" s="10"/>
      <c r="D151" s="10"/>
      <c r="E151" s="12"/>
      <c r="F151" s="10"/>
      <c r="G151" s="11"/>
      <c r="H151" s="11"/>
      <c r="I151" s="13" t="str">
        <f aca="true">IF(AND(F151&lt;&gt;"Payée",G151&lt;&gt;"",G151&lt;TODAY()),TODAY()-G151,"")</f>
        <v/>
      </c>
      <c r="J151" s="10"/>
    </row>
    <row r="152" customFormat="false" ht="15" hidden="false" customHeight="false" outlineLevel="0" collapsed="false">
      <c r="A152" s="10"/>
      <c r="B152" s="11"/>
      <c r="C152" s="10"/>
      <c r="D152" s="10"/>
      <c r="E152" s="12"/>
      <c r="F152" s="10"/>
      <c r="G152" s="11"/>
      <c r="H152" s="11"/>
      <c r="I152" s="13" t="str">
        <f aca="true">IF(AND(F152&lt;&gt;"Payée",G152&lt;&gt;"",G152&lt;TODAY()),TODAY()-G152,"")</f>
        <v/>
      </c>
      <c r="J152" s="10"/>
    </row>
    <row r="153" customFormat="false" ht="15" hidden="false" customHeight="false" outlineLevel="0" collapsed="false">
      <c r="A153" s="10"/>
      <c r="B153" s="11"/>
      <c r="C153" s="10"/>
      <c r="D153" s="10"/>
      <c r="E153" s="12"/>
      <c r="F153" s="10"/>
      <c r="G153" s="11"/>
      <c r="H153" s="11"/>
      <c r="I153" s="13" t="str">
        <f aca="true">IF(AND(F153&lt;&gt;"Payée",G153&lt;&gt;"",G153&lt;TODAY()),TODAY()-G153,"")</f>
        <v/>
      </c>
      <c r="J153" s="10"/>
    </row>
    <row r="154" customFormat="false" ht="15" hidden="false" customHeight="false" outlineLevel="0" collapsed="false">
      <c r="A154" s="10"/>
      <c r="B154" s="11"/>
      <c r="C154" s="10"/>
      <c r="D154" s="10"/>
      <c r="E154" s="12"/>
      <c r="F154" s="10"/>
      <c r="G154" s="11"/>
      <c r="H154" s="11"/>
      <c r="I154" s="13" t="str">
        <f aca="true">IF(AND(F154&lt;&gt;"Payée",G154&lt;&gt;"",G154&lt;TODAY()),TODAY()-G154,"")</f>
        <v/>
      </c>
      <c r="J154" s="10"/>
    </row>
    <row r="155" customFormat="false" ht="15" hidden="false" customHeight="false" outlineLevel="0" collapsed="false">
      <c r="A155" s="10"/>
      <c r="B155" s="11"/>
      <c r="C155" s="10"/>
      <c r="D155" s="10"/>
      <c r="E155" s="12"/>
      <c r="F155" s="10"/>
      <c r="G155" s="11"/>
      <c r="H155" s="11"/>
      <c r="I155" s="13" t="str">
        <f aca="true">IF(AND(F155&lt;&gt;"Payée",G155&lt;&gt;"",G155&lt;TODAY()),TODAY()-G155,"")</f>
        <v/>
      </c>
      <c r="J155" s="10"/>
    </row>
    <row r="156" customFormat="false" ht="15" hidden="false" customHeight="false" outlineLevel="0" collapsed="false">
      <c r="A156" s="10"/>
      <c r="B156" s="11"/>
      <c r="C156" s="10"/>
      <c r="D156" s="10"/>
      <c r="E156" s="12"/>
      <c r="F156" s="10"/>
      <c r="G156" s="11"/>
      <c r="H156" s="11"/>
      <c r="I156" s="13" t="str">
        <f aca="true">IF(AND(F156&lt;&gt;"Payée",G156&lt;&gt;"",G156&lt;TODAY()),TODAY()-G156,"")</f>
        <v/>
      </c>
      <c r="J156" s="10"/>
    </row>
    <row r="157" customFormat="false" ht="15" hidden="false" customHeight="false" outlineLevel="0" collapsed="false">
      <c r="A157" s="10"/>
      <c r="B157" s="11"/>
      <c r="C157" s="10"/>
      <c r="D157" s="10"/>
      <c r="E157" s="12"/>
      <c r="F157" s="10"/>
      <c r="G157" s="11"/>
      <c r="H157" s="11"/>
      <c r="I157" s="13" t="str">
        <f aca="true">IF(AND(F157&lt;&gt;"Payée",G157&lt;&gt;"",G157&lt;TODAY()),TODAY()-G157,"")</f>
        <v/>
      </c>
      <c r="J157" s="10"/>
    </row>
    <row r="158" customFormat="false" ht="15" hidden="false" customHeight="false" outlineLevel="0" collapsed="false">
      <c r="A158" s="10"/>
      <c r="B158" s="11"/>
      <c r="C158" s="10"/>
      <c r="D158" s="10"/>
      <c r="E158" s="12"/>
      <c r="F158" s="10"/>
      <c r="G158" s="11"/>
      <c r="H158" s="11"/>
      <c r="I158" s="13" t="str">
        <f aca="true">IF(AND(F158&lt;&gt;"Payée",G158&lt;&gt;"",G158&lt;TODAY()),TODAY()-G158,"")</f>
        <v/>
      </c>
      <c r="J158" s="10"/>
    </row>
    <row r="159" customFormat="false" ht="15" hidden="false" customHeight="false" outlineLevel="0" collapsed="false">
      <c r="A159" s="10"/>
      <c r="B159" s="11"/>
      <c r="C159" s="10"/>
      <c r="D159" s="10"/>
      <c r="E159" s="12"/>
      <c r="F159" s="10"/>
      <c r="G159" s="11"/>
      <c r="H159" s="11"/>
      <c r="I159" s="13" t="str">
        <f aca="true">IF(AND(F159&lt;&gt;"Payée",G159&lt;&gt;"",G159&lt;TODAY()),TODAY()-G159,"")</f>
        <v/>
      </c>
      <c r="J159" s="10"/>
    </row>
    <row r="160" customFormat="false" ht="15" hidden="false" customHeight="false" outlineLevel="0" collapsed="false">
      <c r="A160" s="10"/>
      <c r="B160" s="11"/>
      <c r="C160" s="10"/>
      <c r="D160" s="10"/>
      <c r="E160" s="12"/>
      <c r="F160" s="10"/>
      <c r="G160" s="11"/>
      <c r="H160" s="11"/>
      <c r="I160" s="13" t="str">
        <f aca="true">IF(AND(F160&lt;&gt;"Payée",G160&lt;&gt;"",G160&lt;TODAY()),TODAY()-G160,"")</f>
        <v/>
      </c>
      <c r="J160" s="10"/>
    </row>
    <row r="161" customFormat="false" ht="15" hidden="false" customHeight="false" outlineLevel="0" collapsed="false">
      <c r="A161" s="10"/>
      <c r="B161" s="11"/>
      <c r="C161" s="10"/>
      <c r="D161" s="10"/>
      <c r="E161" s="12"/>
      <c r="F161" s="10"/>
      <c r="G161" s="11"/>
      <c r="H161" s="11"/>
      <c r="I161" s="13" t="str">
        <f aca="true">IF(AND(F161&lt;&gt;"Payée",G161&lt;&gt;"",G161&lt;TODAY()),TODAY()-G161,"")</f>
        <v/>
      </c>
      <c r="J161" s="10"/>
    </row>
    <row r="162" customFormat="false" ht="15" hidden="false" customHeight="false" outlineLevel="0" collapsed="false">
      <c r="A162" s="10"/>
      <c r="B162" s="11"/>
      <c r="C162" s="10"/>
      <c r="D162" s="10"/>
      <c r="E162" s="12"/>
      <c r="F162" s="10"/>
      <c r="G162" s="11"/>
      <c r="H162" s="11"/>
      <c r="I162" s="13" t="str">
        <f aca="true">IF(AND(F162&lt;&gt;"Payée",G162&lt;&gt;"",G162&lt;TODAY()),TODAY()-G162,"")</f>
        <v/>
      </c>
      <c r="J162" s="10"/>
    </row>
    <row r="163" customFormat="false" ht="15" hidden="false" customHeight="false" outlineLevel="0" collapsed="false">
      <c r="A163" s="10"/>
      <c r="B163" s="11"/>
      <c r="C163" s="10"/>
      <c r="D163" s="10"/>
      <c r="E163" s="12"/>
      <c r="F163" s="10"/>
      <c r="G163" s="11"/>
      <c r="H163" s="11"/>
      <c r="I163" s="13" t="str">
        <f aca="true">IF(AND(F163&lt;&gt;"Payée",G163&lt;&gt;"",G163&lt;TODAY()),TODAY()-G163,"")</f>
        <v/>
      </c>
      <c r="J163" s="10"/>
    </row>
    <row r="164" customFormat="false" ht="15" hidden="false" customHeight="false" outlineLevel="0" collapsed="false">
      <c r="A164" s="10"/>
      <c r="B164" s="11"/>
      <c r="C164" s="10"/>
      <c r="D164" s="10"/>
      <c r="E164" s="12"/>
      <c r="F164" s="10"/>
      <c r="G164" s="11"/>
      <c r="H164" s="11"/>
      <c r="I164" s="13" t="str">
        <f aca="true">IF(AND(F164&lt;&gt;"Payée",G164&lt;&gt;"",G164&lt;TODAY()),TODAY()-G164,"")</f>
        <v/>
      </c>
      <c r="J164" s="10"/>
    </row>
    <row r="165" customFormat="false" ht="15" hidden="false" customHeight="false" outlineLevel="0" collapsed="false">
      <c r="A165" s="10"/>
      <c r="B165" s="11"/>
      <c r="C165" s="10"/>
      <c r="D165" s="10"/>
      <c r="E165" s="12"/>
      <c r="F165" s="10"/>
      <c r="G165" s="11"/>
      <c r="H165" s="11"/>
      <c r="I165" s="13" t="str">
        <f aca="true">IF(AND(F165&lt;&gt;"Payée",G165&lt;&gt;"",G165&lt;TODAY()),TODAY()-G165,"")</f>
        <v/>
      </c>
      <c r="J165" s="10"/>
    </row>
    <row r="166" customFormat="false" ht="15" hidden="false" customHeight="false" outlineLevel="0" collapsed="false">
      <c r="A166" s="10"/>
      <c r="B166" s="11"/>
      <c r="C166" s="10"/>
      <c r="D166" s="10"/>
      <c r="E166" s="12"/>
      <c r="F166" s="10"/>
      <c r="G166" s="11"/>
      <c r="H166" s="11"/>
      <c r="I166" s="13" t="str">
        <f aca="true">IF(AND(F166&lt;&gt;"Payée",G166&lt;&gt;"",G166&lt;TODAY()),TODAY()-G166,"")</f>
        <v/>
      </c>
      <c r="J166" s="10"/>
    </row>
    <row r="167" customFormat="false" ht="15" hidden="false" customHeight="false" outlineLevel="0" collapsed="false">
      <c r="A167" s="10"/>
      <c r="B167" s="11"/>
      <c r="C167" s="10"/>
      <c r="D167" s="10"/>
      <c r="E167" s="12"/>
      <c r="F167" s="10"/>
      <c r="G167" s="11"/>
      <c r="H167" s="11"/>
      <c r="I167" s="13" t="str">
        <f aca="true">IF(AND(F167&lt;&gt;"Payée",G167&lt;&gt;"",G167&lt;TODAY()),TODAY()-G167,"")</f>
        <v/>
      </c>
      <c r="J167" s="10"/>
    </row>
    <row r="168" customFormat="false" ht="15" hidden="false" customHeight="false" outlineLevel="0" collapsed="false">
      <c r="A168" s="10"/>
      <c r="B168" s="11"/>
      <c r="C168" s="10"/>
      <c r="D168" s="10"/>
      <c r="E168" s="12"/>
      <c r="F168" s="10"/>
      <c r="G168" s="11"/>
      <c r="H168" s="11"/>
      <c r="I168" s="13" t="str">
        <f aca="true">IF(AND(F168&lt;&gt;"Payée",G168&lt;&gt;"",G168&lt;TODAY()),TODAY()-G168,"")</f>
        <v/>
      </c>
      <c r="J168" s="10"/>
    </row>
    <row r="169" customFormat="false" ht="15" hidden="false" customHeight="false" outlineLevel="0" collapsed="false">
      <c r="A169" s="10"/>
      <c r="B169" s="11"/>
      <c r="C169" s="10"/>
      <c r="D169" s="10"/>
      <c r="E169" s="12"/>
      <c r="F169" s="10"/>
      <c r="G169" s="11"/>
      <c r="H169" s="11"/>
      <c r="I169" s="13" t="str">
        <f aca="true">IF(AND(F169&lt;&gt;"Payée",G169&lt;&gt;"",G169&lt;TODAY()),TODAY()-G169,"")</f>
        <v/>
      </c>
      <c r="J169" s="10"/>
    </row>
    <row r="170" customFormat="false" ht="15" hidden="false" customHeight="false" outlineLevel="0" collapsed="false">
      <c r="A170" s="10"/>
      <c r="B170" s="11"/>
      <c r="C170" s="10"/>
      <c r="D170" s="10"/>
      <c r="E170" s="12"/>
      <c r="F170" s="10"/>
      <c r="G170" s="11"/>
      <c r="H170" s="11"/>
      <c r="I170" s="13" t="str">
        <f aca="true">IF(AND(F170&lt;&gt;"Payée",G170&lt;&gt;"",G170&lt;TODAY()),TODAY()-G170,"")</f>
        <v/>
      </c>
      <c r="J170" s="10"/>
    </row>
    <row r="171" customFormat="false" ht="15" hidden="false" customHeight="false" outlineLevel="0" collapsed="false">
      <c r="A171" s="10"/>
      <c r="B171" s="11"/>
      <c r="C171" s="10"/>
      <c r="D171" s="10"/>
      <c r="E171" s="12"/>
      <c r="F171" s="10"/>
      <c r="G171" s="11"/>
      <c r="H171" s="11"/>
      <c r="I171" s="13" t="str">
        <f aca="true">IF(AND(F171&lt;&gt;"Payée",G171&lt;&gt;"",G171&lt;TODAY()),TODAY()-G171,"")</f>
        <v/>
      </c>
      <c r="J171" s="10"/>
    </row>
    <row r="172" customFormat="false" ht="15" hidden="false" customHeight="false" outlineLevel="0" collapsed="false">
      <c r="A172" s="10"/>
      <c r="B172" s="11"/>
      <c r="C172" s="10"/>
      <c r="D172" s="10"/>
      <c r="E172" s="12"/>
      <c r="F172" s="10"/>
      <c r="G172" s="11"/>
      <c r="H172" s="11"/>
      <c r="I172" s="13" t="str">
        <f aca="true">IF(AND(F172&lt;&gt;"Payée",G172&lt;&gt;"",G172&lt;TODAY()),TODAY()-G172,"")</f>
        <v/>
      </c>
      <c r="J172" s="10"/>
    </row>
    <row r="173" customFormat="false" ht="15" hidden="false" customHeight="false" outlineLevel="0" collapsed="false">
      <c r="A173" s="10"/>
      <c r="B173" s="11"/>
      <c r="C173" s="10"/>
      <c r="D173" s="10"/>
      <c r="E173" s="12"/>
      <c r="F173" s="10"/>
      <c r="G173" s="11"/>
      <c r="H173" s="11"/>
      <c r="I173" s="13" t="str">
        <f aca="true">IF(AND(F173&lt;&gt;"Payée",G173&lt;&gt;"",G173&lt;TODAY()),TODAY()-G173,"")</f>
        <v/>
      </c>
      <c r="J173" s="10"/>
    </row>
    <row r="174" customFormat="false" ht="15" hidden="false" customHeight="false" outlineLevel="0" collapsed="false">
      <c r="A174" s="10"/>
      <c r="B174" s="11"/>
      <c r="C174" s="10"/>
      <c r="D174" s="10"/>
      <c r="E174" s="12"/>
      <c r="F174" s="10"/>
      <c r="G174" s="11"/>
      <c r="H174" s="11"/>
      <c r="I174" s="13" t="str">
        <f aca="true">IF(AND(F174&lt;&gt;"Payée",G174&lt;&gt;"",G174&lt;TODAY()),TODAY()-G174,"")</f>
        <v/>
      </c>
      <c r="J174" s="10"/>
    </row>
    <row r="175" customFormat="false" ht="15" hidden="false" customHeight="false" outlineLevel="0" collapsed="false">
      <c r="A175" s="10"/>
      <c r="B175" s="11"/>
      <c r="C175" s="10"/>
      <c r="D175" s="10"/>
      <c r="E175" s="12"/>
      <c r="F175" s="10"/>
      <c r="G175" s="11"/>
      <c r="H175" s="11"/>
      <c r="I175" s="13" t="str">
        <f aca="true">IF(AND(F175&lt;&gt;"Payée",G175&lt;&gt;"",G175&lt;TODAY()),TODAY()-G175,"")</f>
        <v/>
      </c>
      <c r="J175" s="10"/>
    </row>
    <row r="176" customFormat="false" ht="15" hidden="false" customHeight="false" outlineLevel="0" collapsed="false">
      <c r="A176" s="10"/>
      <c r="B176" s="11"/>
      <c r="C176" s="10"/>
      <c r="D176" s="10"/>
      <c r="E176" s="12"/>
      <c r="F176" s="10"/>
      <c r="G176" s="11"/>
      <c r="H176" s="11"/>
      <c r="I176" s="13" t="str">
        <f aca="true">IF(AND(F176&lt;&gt;"Payée",G176&lt;&gt;"",G176&lt;TODAY()),TODAY()-G176,"")</f>
        <v/>
      </c>
      <c r="J176" s="10"/>
    </row>
    <row r="177" customFormat="false" ht="15" hidden="false" customHeight="false" outlineLevel="0" collapsed="false">
      <c r="A177" s="10"/>
      <c r="B177" s="11"/>
      <c r="C177" s="10"/>
      <c r="D177" s="10"/>
      <c r="E177" s="12"/>
      <c r="F177" s="10"/>
      <c r="G177" s="11"/>
      <c r="H177" s="11"/>
      <c r="I177" s="13" t="str">
        <f aca="true">IF(AND(F177&lt;&gt;"Payée",G177&lt;&gt;"",G177&lt;TODAY()),TODAY()-G177,"")</f>
        <v/>
      </c>
      <c r="J177" s="10"/>
    </row>
    <row r="178" customFormat="false" ht="15" hidden="false" customHeight="false" outlineLevel="0" collapsed="false">
      <c r="A178" s="10"/>
      <c r="B178" s="11"/>
      <c r="C178" s="10"/>
      <c r="D178" s="10"/>
      <c r="E178" s="12"/>
      <c r="F178" s="10"/>
      <c r="G178" s="11"/>
      <c r="H178" s="11"/>
      <c r="I178" s="13" t="str">
        <f aca="true">IF(AND(F178&lt;&gt;"Payée",G178&lt;&gt;"",G178&lt;TODAY()),TODAY()-G178,"")</f>
        <v/>
      </c>
      <c r="J178" s="10"/>
    </row>
    <row r="179" customFormat="false" ht="15" hidden="false" customHeight="false" outlineLevel="0" collapsed="false">
      <c r="A179" s="10"/>
      <c r="B179" s="11"/>
      <c r="C179" s="10"/>
      <c r="D179" s="10"/>
      <c r="E179" s="12"/>
      <c r="F179" s="10"/>
      <c r="G179" s="11"/>
      <c r="H179" s="11"/>
      <c r="I179" s="13" t="str">
        <f aca="true">IF(AND(F179&lt;&gt;"Payée",G179&lt;&gt;"",G179&lt;TODAY()),TODAY()-G179,"")</f>
        <v/>
      </c>
      <c r="J179" s="10"/>
    </row>
    <row r="180" customFormat="false" ht="15" hidden="false" customHeight="false" outlineLevel="0" collapsed="false">
      <c r="A180" s="10"/>
      <c r="B180" s="11"/>
      <c r="C180" s="10"/>
      <c r="D180" s="10"/>
      <c r="E180" s="12"/>
      <c r="F180" s="10"/>
      <c r="G180" s="11"/>
      <c r="H180" s="11"/>
      <c r="I180" s="13" t="str">
        <f aca="true">IF(AND(F180&lt;&gt;"Payée",G180&lt;&gt;"",G180&lt;TODAY()),TODAY()-G180,"")</f>
        <v/>
      </c>
      <c r="J180" s="10"/>
    </row>
    <row r="181" customFormat="false" ht="15" hidden="false" customHeight="false" outlineLevel="0" collapsed="false">
      <c r="A181" s="10"/>
      <c r="B181" s="11"/>
      <c r="C181" s="10"/>
      <c r="D181" s="10"/>
      <c r="E181" s="12"/>
      <c r="F181" s="10"/>
      <c r="G181" s="11"/>
      <c r="H181" s="11"/>
      <c r="I181" s="13" t="str">
        <f aca="true">IF(AND(F181&lt;&gt;"Payée",G181&lt;&gt;"",G181&lt;TODAY()),TODAY()-G181,"")</f>
        <v/>
      </c>
      <c r="J181" s="10"/>
    </row>
    <row r="182" customFormat="false" ht="15" hidden="false" customHeight="false" outlineLevel="0" collapsed="false">
      <c r="A182" s="10"/>
      <c r="B182" s="11"/>
      <c r="C182" s="10"/>
      <c r="D182" s="10"/>
      <c r="E182" s="12"/>
      <c r="F182" s="10"/>
      <c r="G182" s="11"/>
      <c r="H182" s="11"/>
      <c r="I182" s="13" t="str">
        <f aca="true">IF(AND(F182&lt;&gt;"Payée",G182&lt;&gt;"",G182&lt;TODAY()),TODAY()-G182,"")</f>
        <v/>
      </c>
      <c r="J182" s="10"/>
    </row>
    <row r="183" customFormat="false" ht="15" hidden="false" customHeight="false" outlineLevel="0" collapsed="false">
      <c r="A183" s="10"/>
      <c r="B183" s="11"/>
      <c r="C183" s="10"/>
      <c r="D183" s="10"/>
      <c r="E183" s="12"/>
      <c r="F183" s="10"/>
      <c r="G183" s="11"/>
      <c r="H183" s="11"/>
      <c r="I183" s="13" t="str">
        <f aca="true">IF(AND(F183&lt;&gt;"Payée",G183&lt;&gt;"",G183&lt;TODAY()),TODAY()-G183,"")</f>
        <v/>
      </c>
      <c r="J183" s="10"/>
    </row>
    <row r="184" customFormat="false" ht="15" hidden="false" customHeight="false" outlineLevel="0" collapsed="false">
      <c r="A184" s="10"/>
      <c r="B184" s="11"/>
      <c r="C184" s="10"/>
      <c r="D184" s="10"/>
      <c r="E184" s="12"/>
      <c r="F184" s="10"/>
      <c r="G184" s="11"/>
      <c r="H184" s="11"/>
      <c r="I184" s="13" t="str">
        <f aca="true">IF(AND(F184&lt;&gt;"Payée",G184&lt;&gt;"",G184&lt;TODAY()),TODAY()-G184,"")</f>
        <v/>
      </c>
      <c r="J184" s="10"/>
    </row>
    <row r="185" customFormat="false" ht="15" hidden="false" customHeight="false" outlineLevel="0" collapsed="false">
      <c r="A185" s="10"/>
      <c r="B185" s="11"/>
      <c r="C185" s="10"/>
      <c r="D185" s="10"/>
      <c r="E185" s="12"/>
      <c r="F185" s="10"/>
      <c r="G185" s="11"/>
      <c r="H185" s="11"/>
      <c r="I185" s="13" t="str">
        <f aca="true">IF(AND(F185&lt;&gt;"Payée",G185&lt;&gt;"",G185&lt;TODAY()),TODAY()-G185,"")</f>
        <v/>
      </c>
      <c r="J185" s="10"/>
    </row>
    <row r="186" customFormat="false" ht="15" hidden="false" customHeight="false" outlineLevel="0" collapsed="false">
      <c r="A186" s="10"/>
      <c r="B186" s="11"/>
      <c r="C186" s="10"/>
      <c r="D186" s="10"/>
      <c r="E186" s="12"/>
      <c r="F186" s="10"/>
      <c r="G186" s="11"/>
      <c r="H186" s="11"/>
      <c r="I186" s="13" t="str">
        <f aca="true">IF(AND(F186&lt;&gt;"Payée",G186&lt;&gt;"",G186&lt;TODAY()),TODAY()-G186,"")</f>
        <v/>
      </c>
      <c r="J186" s="10"/>
    </row>
    <row r="187" customFormat="false" ht="15" hidden="false" customHeight="false" outlineLevel="0" collapsed="false">
      <c r="A187" s="10"/>
      <c r="B187" s="11"/>
      <c r="C187" s="10"/>
      <c r="D187" s="10"/>
      <c r="E187" s="12"/>
      <c r="F187" s="10"/>
      <c r="G187" s="11"/>
      <c r="H187" s="11"/>
      <c r="I187" s="13" t="str">
        <f aca="true">IF(AND(F187&lt;&gt;"Payée",G187&lt;&gt;"",G187&lt;TODAY()),TODAY()-G187,"")</f>
        <v/>
      </c>
      <c r="J187" s="10"/>
    </row>
    <row r="188" customFormat="false" ht="15" hidden="false" customHeight="false" outlineLevel="0" collapsed="false">
      <c r="A188" s="10"/>
      <c r="B188" s="11"/>
      <c r="C188" s="10"/>
      <c r="D188" s="10"/>
      <c r="E188" s="12"/>
      <c r="F188" s="10"/>
      <c r="G188" s="11"/>
      <c r="H188" s="11"/>
      <c r="I188" s="13" t="str">
        <f aca="true">IF(AND(F188&lt;&gt;"Payée",G188&lt;&gt;"",G188&lt;TODAY()),TODAY()-G188,"")</f>
        <v/>
      </c>
      <c r="J188" s="10"/>
    </row>
    <row r="189" customFormat="false" ht="15" hidden="false" customHeight="false" outlineLevel="0" collapsed="false">
      <c r="A189" s="10"/>
      <c r="B189" s="11"/>
      <c r="C189" s="10"/>
      <c r="D189" s="10"/>
      <c r="E189" s="12"/>
      <c r="F189" s="10"/>
      <c r="G189" s="11"/>
      <c r="H189" s="11"/>
      <c r="I189" s="13" t="str">
        <f aca="true">IF(AND(F189&lt;&gt;"Payée",G189&lt;&gt;"",G189&lt;TODAY()),TODAY()-G189,"")</f>
        <v/>
      </c>
      <c r="J189" s="10"/>
    </row>
    <row r="190" customFormat="false" ht="15" hidden="false" customHeight="false" outlineLevel="0" collapsed="false">
      <c r="A190" s="10"/>
      <c r="B190" s="11"/>
      <c r="C190" s="10"/>
      <c r="D190" s="10"/>
      <c r="E190" s="12"/>
      <c r="F190" s="10"/>
      <c r="G190" s="11"/>
      <c r="H190" s="11"/>
      <c r="I190" s="13" t="str">
        <f aca="true">IF(AND(F190&lt;&gt;"Payée",G190&lt;&gt;"",G190&lt;TODAY()),TODAY()-G190,"")</f>
        <v/>
      </c>
      <c r="J190" s="10"/>
    </row>
    <row r="191" customFormat="false" ht="15" hidden="false" customHeight="false" outlineLevel="0" collapsed="false">
      <c r="A191" s="10"/>
      <c r="B191" s="11"/>
      <c r="C191" s="10"/>
      <c r="D191" s="10"/>
      <c r="E191" s="12"/>
      <c r="F191" s="10"/>
      <c r="G191" s="11"/>
      <c r="H191" s="11"/>
      <c r="I191" s="13" t="str">
        <f aca="true">IF(AND(F191&lt;&gt;"Payée",G191&lt;&gt;"",G191&lt;TODAY()),TODAY()-G191,"")</f>
        <v/>
      </c>
      <c r="J191" s="10"/>
    </row>
    <row r="192" customFormat="false" ht="15" hidden="false" customHeight="false" outlineLevel="0" collapsed="false">
      <c r="A192" s="10"/>
      <c r="B192" s="11"/>
      <c r="C192" s="10"/>
      <c r="D192" s="10"/>
      <c r="E192" s="12"/>
      <c r="F192" s="10"/>
      <c r="G192" s="11"/>
      <c r="H192" s="11"/>
      <c r="I192" s="13" t="str">
        <f aca="true">IF(AND(F192&lt;&gt;"Payée",G192&lt;&gt;"",G192&lt;TODAY()),TODAY()-G192,"")</f>
        <v/>
      </c>
      <c r="J192" s="10"/>
    </row>
    <row r="193" customFormat="false" ht="15" hidden="false" customHeight="false" outlineLevel="0" collapsed="false">
      <c r="A193" s="10"/>
      <c r="B193" s="11"/>
      <c r="C193" s="10"/>
      <c r="D193" s="10"/>
      <c r="E193" s="12"/>
      <c r="F193" s="10"/>
      <c r="G193" s="11"/>
      <c r="H193" s="11"/>
      <c r="I193" s="13" t="str">
        <f aca="true">IF(AND(F193&lt;&gt;"Payée",G193&lt;&gt;"",G193&lt;TODAY()),TODAY()-G193,"")</f>
        <v/>
      </c>
      <c r="J193" s="10"/>
    </row>
    <row r="194" customFormat="false" ht="15" hidden="false" customHeight="false" outlineLevel="0" collapsed="false">
      <c r="A194" s="10"/>
      <c r="B194" s="11"/>
      <c r="C194" s="10"/>
      <c r="D194" s="10"/>
      <c r="E194" s="12"/>
      <c r="F194" s="10"/>
      <c r="G194" s="11"/>
      <c r="H194" s="11"/>
      <c r="I194" s="13" t="str">
        <f aca="true">IF(AND(F194&lt;&gt;"Payée",G194&lt;&gt;"",G194&lt;TODAY()),TODAY()-G194,"")</f>
        <v/>
      </c>
      <c r="J194" s="10"/>
    </row>
    <row r="195" customFormat="false" ht="15" hidden="false" customHeight="false" outlineLevel="0" collapsed="false">
      <c r="A195" s="10"/>
      <c r="B195" s="11"/>
      <c r="C195" s="10"/>
      <c r="D195" s="10"/>
      <c r="E195" s="12"/>
      <c r="F195" s="10"/>
      <c r="G195" s="11"/>
      <c r="H195" s="11"/>
      <c r="I195" s="13" t="str">
        <f aca="true">IF(AND(F195&lt;&gt;"Payée",G195&lt;&gt;"",G195&lt;TODAY()),TODAY()-G195,"")</f>
        <v/>
      </c>
      <c r="J195" s="10"/>
    </row>
    <row r="196" customFormat="false" ht="15" hidden="false" customHeight="false" outlineLevel="0" collapsed="false">
      <c r="A196" s="10"/>
      <c r="B196" s="11"/>
      <c r="C196" s="10"/>
      <c r="D196" s="10"/>
      <c r="E196" s="12"/>
      <c r="F196" s="10"/>
      <c r="G196" s="11"/>
      <c r="H196" s="11"/>
      <c r="I196" s="13" t="str">
        <f aca="true">IF(AND(F196&lt;&gt;"Payée",G196&lt;&gt;"",G196&lt;TODAY()),TODAY()-G196,"")</f>
        <v/>
      </c>
      <c r="J196" s="10"/>
    </row>
    <row r="197" customFormat="false" ht="15" hidden="false" customHeight="false" outlineLevel="0" collapsed="false">
      <c r="A197" s="10"/>
      <c r="B197" s="11"/>
      <c r="C197" s="10"/>
      <c r="D197" s="10"/>
      <c r="E197" s="12"/>
      <c r="F197" s="10"/>
      <c r="G197" s="11"/>
      <c r="H197" s="11"/>
      <c r="I197" s="13" t="str">
        <f aca="true">IF(AND(F197&lt;&gt;"Payée",G197&lt;&gt;"",G197&lt;TODAY()),TODAY()-G197,"")</f>
        <v/>
      </c>
      <c r="J197" s="10"/>
    </row>
    <row r="198" customFormat="false" ht="15" hidden="false" customHeight="false" outlineLevel="0" collapsed="false">
      <c r="A198" s="10"/>
      <c r="B198" s="11"/>
      <c r="C198" s="10"/>
      <c r="D198" s="10"/>
      <c r="E198" s="12"/>
      <c r="F198" s="10"/>
      <c r="G198" s="11"/>
      <c r="H198" s="11"/>
      <c r="I198" s="13" t="str">
        <f aca="true">IF(AND(F198&lt;&gt;"Payée",G198&lt;&gt;"",G198&lt;TODAY()),TODAY()-G198,"")</f>
        <v/>
      </c>
      <c r="J198" s="10"/>
    </row>
    <row r="199" customFormat="false" ht="15" hidden="false" customHeight="false" outlineLevel="0" collapsed="false">
      <c r="A199" s="10"/>
      <c r="B199" s="11"/>
      <c r="C199" s="10"/>
      <c r="D199" s="10"/>
      <c r="E199" s="12"/>
      <c r="F199" s="10"/>
      <c r="G199" s="11"/>
      <c r="H199" s="11"/>
      <c r="I199" s="13" t="str">
        <f aca="true">IF(AND(F199&lt;&gt;"Payée",G199&lt;&gt;"",G199&lt;TODAY()),TODAY()-G199,"")</f>
        <v/>
      </c>
      <c r="J199" s="10"/>
    </row>
    <row r="200" customFormat="false" ht="15" hidden="false" customHeight="false" outlineLevel="0" collapsed="false">
      <c r="A200" s="10"/>
      <c r="B200" s="11"/>
      <c r="C200" s="10"/>
      <c r="D200" s="10"/>
      <c r="E200" s="12"/>
      <c r="F200" s="10"/>
      <c r="G200" s="11"/>
      <c r="H200" s="11"/>
      <c r="I200" s="13" t="str">
        <f aca="true">IF(AND(F200&lt;&gt;"Payée",G200&lt;&gt;"",G200&lt;TODAY()),TODAY()-G200,"")</f>
        <v/>
      </c>
      <c r="J200" s="10"/>
    </row>
    <row r="201" customFormat="false" ht="15" hidden="false" customHeight="false" outlineLevel="0" collapsed="false">
      <c r="A201" s="10"/>
      <c r="B201" s="11"/>
      <c r="C201" s="10"/>
      <c r="D201" s="10"/>
      <c r="E201" s="12"/>
      <c r="F201" s="10"/>
      <c r="G201" s="11"/>
      <c r="H201" s="11"/>
      <c r="I201" s="13" t="str">
        <f aca="true">IF(AND(F201&lt;&gt;"Payée",G201&lt;&gt;"",G201&lt;TODAY()),TODAY()-G201,"")</f>
        <v/>
      </c>
      <c r="J201" s="10"/>
    </row>
    <row r="202" customFormat="false" ht="15" hidden="false" customHeight="false" outlineLevel="0" collapsed="false">
      <c r="A202" s="10"/>
      <c r="B202" s="11"/>
      <c r="C202" s="10"/>
      <c r="D202" s="10"/>
      <c r="E202" s="12"/>
      <c r="F202" s="10"/>
      <c r="G202" s="11"/>
      <c r="H202" s="11"/>
      <c r="I202" s="13" t="str">
        <f aca="true">IF(AND(F202&lt;&gt;"Payée",G202&lt;&gt;"",G202&lt;TODAY()),TODAY()-G202,"")</f>
        <v/>
      </c>
      <c r="J202" s="10"/>
    </row>
    <row r="203" customFormat="false" ht="15" hidden="false" customHeight="false" outlineLevel="0" collapsed="false">
      <c r="A203" s="10"/>
      <c r="B203" s="11"/>
      <c r="C203" s="10"/>
      <c r="D203" s="10"/>
      <c r="E203" s="12"/>
      <c r="F203" s="10"/>
      <c r="G203" s="11"/>
      <c r="H203" s="11"/>
      <c r="I203" s="13" t="str">
        <f aca="true">IF(AND(F203&lt;&gt;"Payée",G203&lt;&gt;"",G203&lt;TODAY()),TODAY()-G203,"")</f>
        <v/>
      </c>
      <c r="J203" s="10"/>
    </row>
    <row r="204" customFormat="false" ht="15" hidden="false" customHeight="false" outlineLevel="0" collapsed="false">
      <c r="A204" s="10"/>
      <c r="B204" s="11"/>
      <c r="C204" s="10"/>
      <c r="D204" s="10"/>
      <c r="E204" s="12"/>
      <c r="F204" s="10"/>
      <c r="G204" s="11"/>
      <c r="H204" s="11"/>
      <c r="I204" s="13" t="str">
        <f aca="true">IF(AND(F204&lt;&gt;"Payée",G204&lt;&gt;"",G204&lt;TODAY()),TODAY()-G204,"")</f>
        <v/>
      </c>
      <c r="J204" s="10"/>
    </row>
  </sheetData>
  <autoFilter ref="A4:J204"/>
  <dataValidations count="1">
    <dataValidation allowBlank="true" errorStyle="stop" operator="between" showDropDown="false" showErrorMessage="false" showInputMessage="false" sqref="F5:F204" type="list">
      <formula1>"Brouillon,Envoyée,Payée"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32</v>
      </c>
    </row>
    <row r="3" customFormat="false" ht="15" hidden="false" customHeight="false" outlineLevel="0" collapsed="false">
      <c r="A3" s="14" t="s">
        <v>33</v>
      </c>
      <c r="B3" s="15" t="n">
        <f aca="false">SUMIFS(Factures!$E$5:$E$204,Factures!$F$5:$F$204,"Envoyée")+SUMIFS(Factures!$E$5:$E$204,Factures!$F$5:$F$204,"Payée")</f>
        <v>100</v>
      </c>
    </row>
    <row r="4" customFormat="false" ht="15" hidden="false" customHeight="false" outlineLevel="0" collapsed="false">
      <c r="A4" s="14" t="s">
        <v>34</v>
      </c>
      <c r="B4" s="15" t="n">
        <f aca="false">SUMIFS(Factures!$E$5:$E$204,Factures!$F$5:$F$204,"Payée")</f>
        <v>0</v>
      </c>
    </row>
    <row r="5" customFormat="false" ht="15" hidden="false" customHeight="false" outlineLevel="0" collapsed="false">
      <c r="A5" s="14" t="s">
        <v>35</v>
      </c>
      <c r="B5" s="15" t="n">
        <f aca="false">B3-B4</f>
        <v>100</v>
      </c>
    </row>
    <row r="6" customFormat="false" ht="15" hidden="false" customHeight="false" outlineLevel="0" collapsed="false">
      <c r="A6" s="14" t="s">
        <v>36</v>
      </c>
      <c r="B6" s="16" t="n">
        <f aca="false">COUNT(Factures!$I$5:$I$204)</f>
        <v>0</v>
      </c>
    </row>
    <row r="7" customFormat="false" ht="15" hidden="false" customHeight="false" outlineLevel="0" collapsed="false">
      <c r="A7" s="14" t="s">
        <v>37</v>
      </c>
      <c r="B7" s="17"/>
    </row>
    <row r="8" customFormat="false" ht="15" hidden="false" customHeight="false" outlineLevel="0" collapsed="false">
      <c r="A8" s="14" t="s">
        <v>38</v>
      </c>
      <c r="B8" s="15" t="str">
        <f aca="false">IF(B7="","",B4*B7)</f>
        <v/>
      </c>
    </row>
    <row r="9" customFormat="false" ht="15" hidden="false" customHeight="false" outlineLevel="0" collapsed="false">
      <c r="A9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2026-10-21T13:19:27Z</dcterms:created>
  <dc:creator>openpyxl</dc:creator>
  <dc:description/>
  <dc:language>en-US</dc:language>
  <cp:lastModifiedBy/>
  <dcterms:modified xsi:type="dcterms:W3CDTF">2026-10-21T13:19:27Z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